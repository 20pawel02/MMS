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L" sheetId="1" state="visible" r:id="rId3"/>
    <sheet name="Zadanie z treścią" sheetId="2" state="visible" r:id="rId4"/>
    <sheet name="transport-rozw" sheetId="3" state="visible" r:id="rId5"/>
    <sheet name="zadanie1" sheetId="4" state="visible" r:id="rId6"/>
    <sheet name="zadanie2" sheetId="5" state="visible" r:id="rId7"/>
    <sheet name="zadanie3" sheetId="6" state="visible" r:id="rId8"/>
    <sheet name="zadanie4" sheetId="7" state="visible" r:id="rId9"/>
  </sheets>
  <definedNames>
    <definedName function="false" hidden="true" localSheetId="0" name="solver_adj" vbProcedure="false">PL!$D$17:$F$17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2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PL!$F$19:$F$20</definedName>
    <definedName function="false" hidden="true" localSheetId="0" name="solver_lhs2" vbProcedure="false">PL!$F$21:$F$22</definedName>
    <definedName function="false" hidden="true" localSheetId="0" name="solver_lhs3" vbProcedure="false">PL!$F$23</definedName>
    <definedName function="false" hidden="true" localSheetId="0" name="solver_lhs4" vbProcedure="false">PL!$F$24:$F$26</definedName>
    <definedName function="false" hidden="true" localSheetId="0" name="solver_lhs5" vbProcedure="false">PL!$F$23</definedName>
    <definedName function="false" hidden="true" localSheetId="0" name="solver_lhs6" vbProcedure="false">PL!$F$24</definedName>
    <definedName function="false" hidden="true" localSheetId="0" name="solver_lhs7" vbProcedure="false">PL!$F$25</definedName>
    <definedName function="false" hidden="true" localSheetId="0" name="solver_lhs8" vbProcedure="false">PL!$F$26</definedName>
    <definedName function="false" hidden="true" localSheetId="0" name="solver_lin" vbProcedure="false">2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3</definedName>
    <definedName function="false" hidden="true" localSheetId="0" name="solver_nwt" vbProcedure="false">1</definedName>
    <definedName function="false" hidden="true" localSheetId="0" name="solver_opt" vbProcedure="false">PL!$F$27</definedName>
    <definedName function="false" hidden="true" localSheetId="0" name="solver_pre" vbProcedure="false">0.000001</definedName>
    <definedName function="false" hidden="true" localSheetId="0" name="solver_rbv" vbProcedure="false">1</definedName>
    <definedName function="false" hidden="true" localSheetId="0" name="solver_rel1" vbProcedure="false">1</definedName>
    <definedName function="false" hidden="true" localSheetId="0" name="solver_rel2" vbProcedure="false">3</definedName>
    <definedName function="false" hidden="true" localSheetId="0" name="solver_rel3" vbProcedure="false">2</definedName>
    <definedName function="false" hidden="true" localSheetId="0" name="solver_rel4" vbProcedure="false">3</definedName>
    <definedName function="false" hidden="true" localSheetId="0" name="solver_rel5" vbProcedure="false">2</definedName>
    <definedName function="false" hidden="true" localSheetId="0" name="solver_rel6" vbProcedure="false">3</definedName>
    <definedName function="false" hidden="true" localSheetId="0" name="solver_rel7" vbProcedure="false">3</definedName>
    <definedName function="false" hidden="true" localSheetId="0" name="solver_rel8" vbProcedure="false">3</definedName>
    <definedName function="false" hidden="true" localSheetId="0" name="solver_rhs1" vbProcedure="false">PL!$H$19:$H$20</definedName>
    <definedName function="false" hidden="true" localSheetId="0" name="solver_rhs2" vbProcedure="false">PL!$H$21:$H$22</definedName>
    <definedName function="false" hidden="true" localSheetId="0" name="solver_rhs3" vbProcedure="false">PL!$H$23</definedName>
    <definedName function="false" hidden="true" localSheetId="0" name="solver_rhs4" vbProcedure="false">PL!$H$24:$H$26</definedName>
    <definedName function="false" hidden="true" localSheetId="0" name="solver_rhs5" vbProcedure="false">PL!$H$23</definedName>
    <definedName function="false" hidden="true" localSheetId="0" name="solver_rhs6" vbProcedure="false">PL!$H$24</definedName>
    <definedName function="false" hidden="true" localSheetId="0" name="solver_rhs7" vbProcedure="false">PL!$H$25</definedName>
    <definedName function="false" hidden="true" localSheetId="0" name="solver_rhs8" vbProcedure="false">PL!$H$26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1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  <definedName function="false" hidden="true" localSheetId="1" name="solver_adj" vbProcedure="false">'Zadanie z treścią'!$B$14:$C$14</definedName>
    <definedName function="false" hidden="true" localSheetId="1" name="solver_cvg" vbProcedure="false">0.0001</definedName>
    <definedName function="false" hidden="true" localSheetId="1" name="solver_drv" vbProcedure="false">1</definedName>
    <definedName function="false" hidden="true" localSheetId="1" name="solver_eng" vbProcedure="false">2</definedName>
    <definedName function="false" hidden="true" localSheetId="1" name="solver_est" vbProcedure="false">1</definedName>
    <definedName function="false" hidden="true" localSheetId="1" name="solver_itr" vbProcedure="false">2147483647</definedName>
    <definedName function="false" hidden="true" localSheetId="1" name="solver_lhs1" vbProcedure="false">'Zadanie z treścią'!$D$17:$D$20</definedName>
    <definedName function="false" hidden="true" localSheetId="1" name="solver_lhs2" vbProcedure="false">'Zadanie z treścią'!$D$18</definedName>
    <definedName function="false" hidden="true" localSheetId="1" name="solver_lhs3" vbProcedure="false">'Zadanie z treścią'!$D$19</definedName>
    <definedName function="false" hidden="true" localSheetId="1" name="solver_lhs4" vbProcedure="false">'Zadanie z treścią'!$D$20</definedName>
    <definedName function="false" hidden="true" localSheetId="1" name="solver_lhs5" vbProcedure="false">'zadanie z treścią'!#ref!</definedName>
    <definedName function="false" hidden="true" localSheetId="1" name="solver_lhs6" vbProcedure="false">'zadanie z treścią'!#ref!</definedName>
    <definedName function="false" hidden="true" localSheetId="1" name="solver_lin" vbProcedure="false">2</definedName>
    <definedName function="false" hidden="true" localSheetId="1" name="solver_mip" vbProcedure="false">2147483647</definedName>
    <definedName function="false" hidden="true" localSheetId="1" name="solver_mni" vbProcedure="false">30</definedName>
    <definedName function="false" hidden="true" localSheetId="1" name="solver_mrt" vbProcedure="false">0.075</definedName>
    <definedName function="false" hidden="true" localSheetId="1" name="solver_msl" vbProcedure="false">2</definedName>
    <definedName function="false" hidden="true" localSheetId="1" name="solver_neg" vbProcedure="false">1</definedName>
    <definedName function="false" hidden="true" localSheetId="1" name="solver_nod" vbProcedure="false">2147483647</definedName>
    <definedName function="false" hidden="true" localSheetId="1" name="solver_num" vbProcedure="false">1</definedName>
    <definedName function="false" hidden="true" localSheetId="1" name="solver_nwt" vbProcedure="false">1</definedName>
    <definedName function="false" hidden="true" localSheetId="1" name="solver_opt" vbProcedure="false">'Zadanie z treścią'!$D$16</definedName>
    <definedName function="false" hidden="true" localSheetId="1" name="solver_pre" vbProcedure="false">0.000001</definedName>
    <definedName function="false" hidden="true" localSheetId="1" name="solver_rbv" vbProcedure="false">1</definedName>
    <definedName function="false" hidden="true" localSheetId="1" name="solver_rel1" vbProcedure="false">1</definedName>
    <definedName function="false" hidden="true" localSheetId="1" name="solver_rel2" vbProcedure="false">1</definedName>
    <definedName function="false" hidden="true" localSheetId="1" name="solver_rel3" vbProcedure="false">1</definedName>
    <definedName function="false" hidden="true" localSheetId="1" name="solver_rel4" vbProcedure="false">1</definedName>
    <definedName function="false" hidden="true" localSheetId="1" name="solver_rel5" vbProcedure="false">3</definedName>
    <definedName function="false" hidden="true" localSheetId="1" name="solver_rel6" vbProcedure="false">3</definedName>
    <definedName function="false" hidden="true" localSheetId="1" name="solver_rhs1" vbProcedure="false">'Zadanie z treścią'!$F$17:$F$20</definedName>
    <definedName function="false" hidden="true" localSheetId="1" name="solver_rhs2" vbProcedure="false">'Zadanie z treścią'!$F$18</definedName>
    <definedName function="false" hidden="true" localSheetId="1" name="solver_rhs3" vbProcedure="false">'Zadanie z treścią'!$F$19</definedName>
    <definedName function="false" hidden="true" localSheetId="1" name="solver_rhs4" vbProcedure="false">'Zadanie z treścią'!$F$20</definedName>
    <definedName function="false" hidden="true" localSheetId="1" name="solver_rhs5" vbProcedure="false">'zadanie z treścią'!#ref!</definedName>
    <definedName function="false" hidden="true" localSheetId="1" name="solver_rhs6" vbProcedure="false">'zadanie z treścią'!#ref!</definedName>
    <definedName function="false" hidden="true" localSheetId="1" name="solver_rlx" vbProcedure="false">2</definedName>
    <definedName function="false" hidden="true" localSheetId="1" name="solver_rsd" vbProcedure="false">0</definedName>
    <definedName function="false" hidden="true" localSheetId="1" name="solver_scl" vbProcedure="false">1</definedName>
    <definedName function="false" hidden="true" localSheetId="1" name="solver_sho" vbProcedure="false">2</definedName>
    <definedName function="false" hidden="true" localSheetId="1" name="solver_ssz" vbProcedure="false">100</definedName>
    <definedName function="false" hidden="true" localSheetId="1" name="solver_tim" vbProcedure="false">2147483647</definedName>
    <definedName function="false" hidden="true" localSheetId="1" name="solver_tol" vbProcedure="false">0.01</definedName>
    <definedName function="false" hidden="true" localSheetId="1" name="solver_typ" vbProcedure="false">1</definedName>
    <definedName function="false" hidden="true" localSheetId="1" name="solver_val" vbProcedure="false">0</definedName>
    <definedName function="false" hidden="true" localSheetId="1" name="solver_ver" vbProcedure="false">3</definedName>
    <definedName function="false" hidden="true" localSheetId="2" name="solver_adj" vbProcedure="false">'transport-rozw'!$B$18:$F$21</definedName>
    <definedName function="false" hidden="true" localSheetId="2" name="solver_cvg" vbProcedure="false">0.0001</definedName>
    <definedName function="false" hidden="true" localSheetId="2" name="solver_drv" vbProcedure="false">1</definedName>
    <definedName function="false" hidden="true" localSheetId="2" name="solver_est" vbProcedure="false">1</definedName>
    <definedName function="false" hidden="true" localSheetId="2" name="solver_itr" vbProcedure="false">100</definedName>
    <definedName function="false" hidden="true" localSheetId="2" name="solver_lhs1" vbProcedure="false">'transport-rozw'!$G$34:$G$37</definedName>
    <definedName function="false" hidden="true" localSheetId="2" name="solver_lhs2" vbProcedure="false">'transport-rozw'!$B$38:$F$38</definedName>
    <definedName function="false" hidden="true" localSheetId="2" name="solver_lin" vbProcedure="false">1</definedName>
    <definedName function="false" hidden="true" localSheetId="2" name="solver_neg" vbProcedure="false">1</definedName>
    <definedName function="false" hidden="true" localSheetId="2" name="solver_num" vbProcedure="false">2</definedName>
    <definedName function="false" hidden="true" localSheetId="2" name="solver_nwt" vbProcedure="false">1</definedName>
    <definedName function="false" hidden="true" localSheetId="2" name="solver_opt" vbProcedure="false">'transport-rozw'!$G$30</definedName>
    <definedName function="false" hidden="true" localSheetId="2" name="solver_pre" vbProcedure="false">0.000001</definedName>
    <definedName function="false" hidden="true" localSheetId="2" name="solver_rel1" vbProcedure="false">2</definedName>
    <definedName function="false" hidden="true" localSheetId="2" name="solver_rel2" vbProcedure="false">2</definedName>
    <definedName function="false" hidden="true" localSheetId="2" name="solver_rhs1" vbProcedure="false">'transport-rozw'!$I$34:$I$37</definedName>
    <definedName function="false" hidden="true" localSheetId="2" name="solver_rhs2" vbProcedure="false">'transport-rozw'!$B$40:$F$40</definedName>
    <definedName function="false" hidden="true" localSheetId="2" name="solver_scl" vbProcedure="false">2</definedName>
    <definedName function="false" hidden="true" localSheetId="2" name="solver_sho" vbProcedure="false">2</definedName>
    <definedName function="false" hidden="true" localSheetId="2" name="solver_tim" vbProcedure="false">100</definedName>
    <definedName function="false" hidden="true" localSheetId="2" name="solver_tol" vbProcedure="false">0.05</definedName>
    <definedName function="false" hidden="true" localSheetId="2" name="solver_typ" vbProcedure="false">2</definedName>
    <definedName function="false" hidden="true" localSheetId="2" name="solver_val" vbProcedure="false">0</definedName>
    <definedName function="false" hidden="false" localSheetId="3" name="solver_asr" vbProcedure="false">0</definedName>
    <definedName function="false" hidden="false" localSheetId="3" name="solver_bbd" vbProcedure="false">1</definedName>
    <definedName function="false" hidden="false" localSheetId="3" name="solver_ccoeff" vbProcedure="false">0</definedName>
    <definedName function="false" hidden="false" localSheetId="3" name="solver_cog" vbProcedure="false">0</definedName>
    <definedName function="false" hidden="false" localSheetId="3" name="solver_crpb" vbProcedure="false">0</definedName>
    <definedName function="false" hidden="false" localSheetId="3" name="solver_eng" vbProcedure="false">2</definedName>
    <definedName function="false" hidden="false" localSheetId="3" name="solver_eps" vbProcedure="false">0</definedName>
    <definedName function="false" hidden="false" localSheetId="3" name="solver_int" vbProcedure="false">0</definedName>
    <definedName function="false" hidden="false" localSheetId="3" name="solver_lhs1" vbProcedure="false">zadanie1!$B$3</definedName>
    <definedName function="false" hidden="false" localSheetId="3" name="solver_lhs2" vbProcedure="false">zadanie1!$B$4</definedName>
    <definedName function="false" hidden="false" localSheetId="3" name="solver_lo_eng" vbProcedure="false">"com.sun.star.comp.Calc.LpsolveSolver"</definedName>
    <definedName function="false" hidden="false" localSheetId="3" name="solver_mtpb" vbProcedure="false">0</definedName>
    <definedName function="false" hidden="false" localSheetId="3" name="solver_neg" vbProcedure="false">2</definedName>
    <definedName function="false" hidden="false" localSheetId="3" name="solver_num" vbProcedure="false">2</definedName>
    <definedName function="false" hidden="false" localSheetId="3" name="solver_opt" vbProcedure="false">zadanie1!$B$9</definedName>
    <definedName function="false" hidden="false" localSheetId="3" name="solver_rel1" vbProcedure="false">1</definedName>
    <definedName function="false" hidden="false" localSheetId="3" name="solver_rel2" vbProcedure="false">1</definedName>
    <definedName function="false" hidden="false" localSheetId="3" name="solver_smax" vbProcedure="false">0</definedName>
    <definedName function="false" hidden="false" localSheetId="3" name="solver_smin" vbProcedure="false">0</definedName>
    <definedName function="false" hidden="false" localSheetId="3" name="solver_soc" vbProcedure="false">0</definedName>
    <definedName function="false" hidden="false" localSheetId="3" name="solver_stol" vbProcedure="false">0</definedName>
    <definedName function="false" hidden="false" localSheetId="3" name="solver_tim" vbProcedure="false">100</definedName>
    <definedName function="false" hidden="false" localSheetId="3" name="solver_typ" vbProcedure="false">1</definedName>
    <definedName function="false" hidden="false" localSheetId="3" name="solver_vrt" vbProcedure="false">0</definedName>
    <definedName function="false" hidden="true" localSheetId="4" name="solver_cvg" vbProcedure="false">0.0001</definedName>
    <definedName function="false" hidden="true" localSheetId="4" name="solver_drv" vbProcedure="false">1</definedName>
    <definedName function="false" hidden="true" localSheetId="4" name="solver_est" vbProcedure="false">1</definedName>
    <definedName function="false" hidden="true" localSheetId="4" name="solver_itr" vbProcedure="false">100</definedName>
    <definedName function="false" hidden="true" localSheetId="4" name="solver_lhs1" vbProcedure="false">zadanie2!#ref!</definedName>
    <definedName function="false" hidden="true" localSheetId="4" name="solver_lhs2" vbProcedure="false">zadanie2!#ref!</definedName>
    <definedName function="false" hidden="true" localSheetId="4" name="solver_lhs3" vbProcedure="false">zadanie2!#ref!</definedName>
    <definedName function="false" hidden="true" localSheetId="4" name="solver_lhs4" vbProcedure="false">zadanie2!#ref!</definedName>
    <definedName function="false" hidden="true" localSheetId="4" name="solver_lhs5" vbProcedure="false">zadanie2!#ref!</definedName>
    <definedName function="false" hidden="true" localSheetId="4" name="solver_lhs6" vbProcedure="false">zadanie2!#ref!</definedName>
    <definedName function="false" hidden="true" localSheetId="4" name="solver_lhs7" vbProcedure="false">zadanie2!#ref!</definedName>
    <definedName function="false" hidden="true" localSheetId="4" name="solver_lin" vbProcedure="false">2</definedName>
    <definedName function="false" hidden="true" localSheetId="4" name="solver_neg" vbProcedure="false">2</definedName>
    <definedName function="false" hidden="true" localSheetId="4" name="solver_num" vbProcedure="false">0</definedName>
    <definedName function="false" hidden="true" localSheetId="4" name="solver_nwt" vbProcedure="false">1</definedName>
    <definedName function="false" hidden="true" localSheetId="4" name="solver_pre" vbProcedure="false">0.000001</definedName>
    <definedName function="false" hidden="true" localSheetId="4" name="solver_rel1" vbProcedure="false">3</definedName>
    <definedName function="false" hidden="true" localSheetId="4" name="solver_rel2" vbProcedure="false">3</definedName>
    <definedName function="false" hidden="true" localSheetId="4" name="solver_rel3" vbProcedure="false">3</definedName>
    <definedName function="false" hidden="true" localSheetId="4" name="solver_rel4" vbProcedure="false">1</definedName>
    <definedName function="false" hidden="true" localSheetId="4" name="solver_rel5" vbProcedure="false">3</definedName>
    <definedName function="false" hidden="true" localSheetId="4" name="solver_rel6" vbProcedure="false">3</definedName>
    <definedName function="false" hidden="true" localSheetId="4" name="solver_rel7" vbProcedure="false">1</definedName>
    <definedName function="false" hidden="true" localSheetId="4" name="solver_rhs1" vbProcedure="false">zadanie2!#ref!</definedName>
    <definedName function="false" hidden="true" localSheetId="4" name="solver_rhs2" vbProcedure="false">zadanie2!#ref!</definedName>
    <definedName function="false" hidden="true" localSheetId="4" name="solver_rhs3" vbProcedure="false">zadanie2!#ref!</definedName>
    <definedName function="false" hidden="true" localSheetId="4" name="solver_rhs4" vbProcedure="false">zadanie2!#ref!</definedName>
    <definedName function="false" hidden="true" localSheetId="4" name="solver_rhs5" vbProcedure="false">zadanie2!#ref!</definedName>
    <definedName function="false" hidden="true" localSheetId="4" name="solver_rhs6" vbProcedure="false">zadanie2!#ref!</definedName>
    <definedName function="false" hidden="true" localSheetId="4" name="solver_rhs7" vbProcedure="false">zadanie2!#ref!</definedName>
    <definedName function="false" hidden="true" localSheetId="4" name="solver_scl" vbProcedure="false">2</definedName>
    <definedName function="false" hidden="true" localSheetId="4" name="solver_sho" vbProcedure="false">2</definedName>
    <definedName function="false" hidden="true" localSheetId="4" name="solver_tim" vbProcedure="false">100</definedName>
    <definedName function="false" hidden="true" localSheetId="4" name="solver_tol" vbProcedure="false">0.05</definedName>
    <definedName function="false" hidden="true" localSheetId="4" name="solver_typ" vbProcedure="false">1</definedName>
    <definedName function="false" hidden="true" localSheetId="4" name="solver_val" vbProcedure="false">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9" authorId="0">
      <text>
        <r>
          <rPr>
            <sz val="10"/>
            <rFont val="Arial"/>
            <family val="2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to sa współczynniki funkcji ograniczeń</t>
        </r>
      </text>
    </comment>
    <comment ref="C27" authorId="0">
      <text>
        <r>
          <rPr>
            <sz val="10"/>
            <rFont val="Arial"/>
            <family val="2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to sa wspólczynniki funkcji celu
</t>
        </r>
      </text>
    </comment>
    <comment ref="C40" authorId="0">
      <text>
        <r>
          <rPr>
            <sz val="10"/>
            <rFont val="Arial"/>
            <family val="2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to sa współczynniki funkcji ograniczeń</t>
        </r>
      </text>
    </comment>
    <comment ref="C48" authorId="0">
      <text>
        <r>
          <rPr>
            <sz val="10"/>
            <rFont val="Arial"/>
            <family val="2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to sa wspólczynniki funkcji celu
</t>
        </r>
      </text>
    </comment>
    <comment ref="D17" authorId="0">
      <text>
        <r>
          <rPr>
            <sz val="10"/>
            <rFont val="Arial"/>
            <family val="2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tu Solver wpisze rozwiązanie.  -- do tych komórek odwołujemy się pisząc ograniczenia i funkcję celu</t>
        </r>
      </text>
    </comment>
    <comment ref="D38" authorId="0">
      <text>
        <r>
          <rPr>
            <sz val="10"/>
            <rFont val="Arial"/>
            <family val="2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tu Solver wpisze rozwiązanie.  -- do tych komórek odwołujemy się pisząc ograniczenia i funkcję celu</t>
        </r>
      </text>
    </comment>
    <comment ref="F19" authorId="0">
      <text>
        <r>
          <rPr>
            <sz val="10"/>
            <rFont val="Arial"/>
            <family val="2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tu wpisujemy wzory funkcji ograniczeń, wartości zostaną wstawione przez Solver
</t>
        </r>
      </text>
    </comment>
    <comment ref="F27" authorId="0">
      <text>
        <r>
          <rPr>
            <sz val="10"/>
            <rFont val="Arial"/>
            <family val="2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tu wpisujemy wzór funkcji celu. Wrtośc wstawi Solver</t>
        </r>
      </text>
    </comment>
    <comment ref="F40" authorId="0">
      <text>
        <r>
          <rPr>
            <sz val="10"/>
            <rFont val="Arial"/>
            <family val="2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tu wpisujemy wzory funkcji ograniczeń, wartości zostaną wstawione przez Solver
</t>
        </r>
      </text>
    </comment>
    <comment ref="F48" authorId="0">
      <text>
        <r>
          <rPr>
            <sz val="10"/>
            <rFont val="Arial"/>
            <family val="2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tu wpisujemy wzór funkcji celu. Wrtośc wstawi Solver</t>
        </r>
      </text>
    </comment>
    <comment ref="H24" authorId="0">
      <text>
        <r>
          <rPr>
            <sz val="10"/>
            <rFont val="Arial"/>
            <family val="2"/>
          </rPr>
  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Te 3 ograniczenia są niepotrzebne jeśli w solwerze zaznaczymy, że wartości zmiennych są nieujemne</t>
        </r>
      </text>
    </comment>
    <comment ref="H45" authorId="0">
      <text>
        <r>
          <rPr>
            <sz val="10"/>
            <rFont val="Arial"/>
            <family val="2"/>
          </rPr>
  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Te 3 ograniczenia są niepotrzebne jeśli w solwerze zaznaczymy, że wartości zmiennych są nieujemne</t>
        </r>
      </text>
    </comment>
  </commentList>
</comments>
</file>

<file path=xl/sharedStrings.xml><?xml version="1.0" encoding="utf-8"?>
<sst xmlns="http://schemas.openxmlformats.org/spreadsheetml/2006/main" count="157" uniqueCount="83">
  <si>
    <t xml:space="preserve">Przykład 1</t>
  </si>
  <si>
    <t xml:space="preserve">x1</t>
  </si>
  <si>
    <t xml:space="preserve">x2</t>
  </si>
  <si>
    <t xml:space="preserve">x3</t>
  </si>
  <si>
    <t xml:space="preserve">wspólczynniki</t>
  </si>
  <si>
    <t xml:space="preserve">&lt;=</t>
  </si>
  <si>
    <t xml:space="preserve">&gt;=</t>
  </si>
  <si>
    <t xml:space="preserve">=</t>
  </si>
  <si>
    <t xml:space="preserve">funkcja celu </t>
  </si>
  <si>
    <t xml:space="preserve">min</t>
  </si>
  <si>
    <t xml:space="preserve">Przykład 2 </t>
  </si>
  <si>
    <t xml:space="preserve">W powyższym  problemie zamienic (ewentualnie ) funkcje celu i ograniczenia tak, aby model był uzyteczny do rozwiazania w Pythonie</t>
  </si>
  <si>
    <t xml:space="preserve">1. minimalizacja funkcji celu</t>
  </si>
  <si>
    <t xml:space="preserve">2. ogranieczenia nierównościowe &lt;=</t>
  </si>
  <si>
    <t xml:space="preserve">3. ograniczenia równościowe</t>
  </si>
  <si>
    <t xml:space="preserve">4. zmienne decyzyjne &gt;=0</t>
  </si>
  <si>
    <t xml:space="preserve">Zadanie1 - Problem wyboru asortymentu produkcji</t>
  </si>
  <si>
    <t xml:space="preserve">    Zakład może produkować dwa wyroby. Środkami produkcji są Energia (E) , Stal (S ), Drewno (D ), Praca (P) .  Zakład ma do dyspozycji maksymalnie: 1200 jednostek E, 600 jednostek S, 420 jednostek D, 900 jednostek P, przy czym na wyprodukowanie jednej jednostki wyrobu  pierwszego jest potrzebne 5 jednostek E a na wyrób drugi, 25 jednostek E (pozostałe ograniczenia w tabeli). Dobierz wielkość produkcji poszczególnych wyrobów tak aby zysk był maksymalny.</t>
  </si>
  <si>
    <t xml:space="preserve">E</t>
  </si>
  <si>
    <t xml:space="preserve">S</t>
  </si>
  <si>
    <t xml:space="preserve">D</t>
  </si>
  <si>
    <t xml:space="preserve">P</t>
  </si>
  <si>
    <t xml:space="preserve">W1</t>
  </si>
  <si>
    <t xml:space="preserve">W2</t>
  </si>
  <si>
    <t xml:space="preserve">Zysk z wyrobu pierwszego to 10.</t>
  </si>
  <si>
    <t xml:space="preserve">Zysk z wyrobu drugiego to 30.</t>
  </si>
  <si>
    <t xml:space="preserve">x</t>
  </si>
  <si>
    <t xml:space="preserve">y</t>
  </si>
  <si>
    <t xml:space="preserve">funkcja celu z=10x+30y</t>
  </si>
  <si>
    <t xml:space="preserve">max</t>
  </si>
  <si>
    <t xml:space="preserve">ograniczenia  5x+25y&lt;=1200</t>
  </si>
  <si>
    <t xml:space="preserve">5x+10y&lt;=600</t>
  </si>
  <si>
    <t xml:space="preserve">6x&lt;=420</t>
  </si>
  <si>
    <t xml:space="preserve">10x+10y&lt;=900</t>
  </si>
  <si>
    <t xml:space="preserve">W czterech magazynach znajduje się pewien towar w ilościach podanych w tabeli. Towar ten należy dostarczyć do 5</t>
  </si>
  <si>
    <t xml:space="preserve">sklepów, które zamówiły go w ilości 8, 12, 10, 5 i 15 jednostek. Koszty przewozu jednostki towaru z magazynu do</t>
  </si>
  <si>
    <t xml:space="preserve">sklepu zawiera tabela.</t>
  </si>
  <si>
    <t xml:space="preserve">Ile towaru, z którego magazynu, do którego sklepu należy przewieźć, aby łączny koszt przewozu był jak najmniejszy?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</si>
  <si>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</si>
  <si>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</si>
  <si>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</si>
  <si>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</si>
  <si>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</si>
  <si>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zapas towaru</t>
  </si>
  <si>
    <t xml:space="preserve">M1</t>
  </si>
  <si>
    <t xml:space="preserve">M2</t>
  </si>
  <si>
    <t xml:space="preserve">M3</t>
  </si>
  <si>
    <t xml:space="preserve">M4</t>
  </si>
  <si>
    <t xml:space="preserve">zamówienie</t>
  </si>
  <si>
    <t xml:space="preserve">suma</t>
  </si>
  <si>
    <t xml:space="preserve">zadanie zbilansowane!</t>
  </si>
  <si>
    <t xml:space="preserve">rozwiazanie</t>
  </si>
  <si>
    <t xml:space="preserve">zmienne decyzyjne xij</t>
  </si>
  <si>
    <t xml:space="preserve">Funkcja celu</t>
  </si>
  <si>
    <t xml:space="preserve">ograniczenia</t>
  </si>
  <si>
    <t xml:space="preserve">profit</t>
  </si>
  <si>
    <t xml:space="preserve">śr. produkji 1</t>
  </si>
  <si>
    <t xml:space="preserve">śr. produkji 2</t>
  </si>
  <si>
    <t xml:space="preserve">Max W1</t>
  </si>
  <si>
    <t xml:space="preserve">Max W2</t>
  </si>
  <si>
    <t xml:space="preserve">Proporcja 3:2</t>
  </si>
  <si>
    <t xml:space="preserve">plan produkcji</t>
  </si>
  <si>
    <t xml:space="preserve">całkowity profit</t>
  </si>
  <si>
    <t xml:space="preserve">K1</t>
  </si>
  <si>
    <t xml:space="preserve">K2</t>
  </si>
  <si>
    <t xml:space="preserve">K3</t>
  </si>
  <si>
    <t xml:space="preserve">witamina C</t>
  </si>
  <si>
    <t xml:space="preserve">witamina D</t>
  </si>
  <si>
    <t xml:space="preserve">witamina A</t>
  </si>
  <si>
    <t xml:space="preserve">Wskazówka:</t>
  </si>
  <si>
    <t xml:space="preserve">Jest 6 zmiennych decyzyjnych, określajacych ilu pracowników ma przyjśc do pracy w okreslonej godzinie (0,4,8,12,16,20)</t>
  </si>
  <si>
    <t xml:space="preserve">Pięć piekarni zlokalizowanych na terenie miasta zaopatruje się w mąkę z czterech magazynów znajdujących się na</t>
  </si>
  <si>
    <t xml:space="preserve">peryferiach. Zapasy mąki w poszczególnych magazynach, zapotrzebowanie poszczególnych piekarni i jednostkowe</t>
  </si>
  <si>
    <t xml:space="preserve">koszty transportu z magazynu do piekarni podano w tabeli.</t>
  </si>
  <si>
    <t xml:space="preserve">Ile mąki, z którego magazynu, do której piekarni należy przewieźć, aby łączny koszt przewozu był jak najmniejszy?</t>
  </si>
  <si>
    <t xml:space="preserve">Sprawdź,czy zadanie jest zbilansowane. Jeśli nie dodaj fikcyjny magazyn lub fikcyjną piekarnię.</t>
  </si>
  <si>
    <t xml:space="preserve">Piekarnia1</t>
  </si>
  <si>
    <t xml:space="preserve">Piekarnia2</t>
  </si>
  <si>
    <t xml:space="preserve">Piekarnia3</t>
  </si>
  <si>
    <t xml:space="preserve">Piekarnia4</t>
  </si>
  <si>
    <t xml:space="preserve">Piekarnia5</t>
  </si>
  <si>
    <t xml:space="preserve">Zapas</t>
  </si>
  <si>
    <t xml:space="preserve">Zapotrzebowanie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</si>
</sst>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"/>
    <numFmt numFmtId="166" formatCode="General"/>
    <numFmt numFmtId="167" formatCode="[$-415]General"/>
  </numFmts>
  <fonts count="14">
    <font>
      <sz val="11"/>
      <color theme="1"/>
      <name val="Czcionka tekstu podstawowego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E"/>
      <family val="0"/>
      <charset val="238"/>
    </font>
    <font>
      <sz val="10"/>
      <name val="Arial"/>
      <family val="2"/>
      <charset val="238"/>
    </font>
    <font>
      <sz val="11"/>
      <color rgb="FFFF0000"/>
      <name val="Czcionka tekstu podstawowego"/>
      <family val="2"/>
      <charset val="238"/>
    </font>
    <font>
      <sz val="10"/>
      <name val="Arial"/>
      <family val="2"/>
    </font>
    <font>
      <sz val="9"/>
      <color rgb="FF000000"/>
      <name val="Tahoma"/>
      <family val="2"/>
      <charset val="238"/>
    </font>
    <font>
      <sz val="12"/>
      <color theme="1"/>
      <name val="Times New Roman"/>
      <family val="1"/>
      <charset val="238"/>
    </font>
    <font>
      <sz val="12"/>
      <color rgb="FFC00000"/>
      <name val="Times New Roman"/>
      <family val="1"/>
      <charset val="238"/>
    </font>
    <font>
      <b val="true"/>
      <sz val="10"/>
      <color rgb="FFFF0000"/>
      <name val="Arial"/>
      <family val="2"/>
      <charset val="238"/>
    </font>
    <font>
      <sz val="10"/>
      <color theme="1"/>
      <name val="Times New Roman"/>
      <family val="1"/>
    </font>
    <font>
      <sz val="12"/>
      <color rgb="FF000000"/>
      <name val="Arial CE"/>
      <family val="0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"/>
        <bgColor rgb="FFC6D9F1"/>
      </patternFill>
    </fill>
    <fill>
      <patternFill patternType="solid">
        <fgColor theme="6" tint="0.3999"/>
        <bgColor rgb="FFB9CDE5"/>
      </patternFill>
    </fill>
    <fill>
      <patternFill patternType="solid">
        <fgColor theme="9" tint="0.3999"/>
        <bgColor rgb="FFE6B9B8"/>
      </patternFill>
    </fill>
    <fill>
      <patternFill patternType="solid">
        <fgColor theme="5" tint="0.5999"/>
        <bgColor rgb="FFFAC090"/>
      </patternFill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FFFCC"/>
      </patternFill>
    </fill>
    <fill>
      <patternFill patternType="solid">
        <fgColor theme="3" tint="0.7999"/>
        <bgColor rgb="FFB9CDE5"/>
      </patternFill>
    </fill>
    <fill>
      <patternFill patternType="solid">
        <fgColor theme="3" tint="0.3999"/>
        <bgColor rgb="FF808080"/>
      </patternFill>
    </fill>
    <fill>
      <patternFill patternType="solid">
        <fgColor rgb="FF92D050"/>
        <bgColor rgb="FFC3D69B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111111"/>
      </left>
      <right style="medium">
        <color rgb="FF111111"/>
      </right>
      <top style="medium">
        <color rgb="FF111111"/>
      </top>
      <bottom style="medium">
        <color rgb="FF111111"/>
      </bottom>
      <diagonal/>
    </border>
    <border diagonalUp="false" diagonalDown="false">
      <left/>
      <right style="medium">
        <color rgb="FF111111"/>
      </right>
      <top style="medium">
        <color rgb="FF111111"/>
      </top>
      <bottom style="medium">
        <color rgb="FF111111"/>
      </bottom>
      <diagonal/>
    </border>
    <border diagonalUp="false" diagonalDown="false">
      <left style="medium">
        <color rgb="FF111111"/>
      </left>
      <right style="medium">
        <color rgb="FF111111"/>
      </right>
      <top/>
      <bottom style="medium">
        <color rgb="FF111111"/>
      </bottom>
      <diagonal/>
    </border>
    <border diagonalUp="false" diagonalDown="false">
      <left/>
      <right style="medium">
        <color rgb="FF111111"/>
      </right>
      <top/>
      <bottom style="medium">
        <color rgb="FF111111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double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0" borderId="1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0" borderId="2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0" borderId="2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0" borderId="2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1" borderId="1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9" borderId="2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1" borderId="1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1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9" borderId="2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9" borderId="2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ny 2" xfId="20"/>
    <cellStyle name="Normalny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9CDE5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3D69B"/>
      <rgbColor rgb="FFFFFF99"/>
      <rgbColor rgb="FF99CCFF"/>
      <rgbColor rgb="FFE6B9B8"/>
      <rgbColor rgb="FFCC99FF"/>
      <rgbColor rgb="FFFAC090"/>
      <rgbColor rgb="FF3366FF"/>
      <rgbColor rgb="FF33CCCC"/>
      <rgbColor rgb="FF92D050"/>
      <rgbColor rgb="FFFFCC00"/>
      <rgbColor rgb="FFFF9900"/>
      <rgbColor rgb="FFFF6600"/>
      <rgbColor rgb="FF558ED5"/>
      <rgbColor rgb="FF969696"/>
      <rgbColor rgb="FF003366"/>
      <rgbColor rgb="FF00B050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372240</xdr:colOff>
      <xdr:row>0</xdr:row>
      <xdr:rowOff>171720</xdr:rowOff>
    </xdr:from>
    <xdr:to>
      <xdr:col>21</xdr:col>
      <xdr:colOff>419400</xdr:colOff>
      <xdr:row>22</xdr:row>
      <xdr:rowOff>44640</xdr:rowOff>
    </xdr:to>
    <xdr:pic>
      <xdr:nvPicPr>
        <xdr:cNvPr id="0" name="Obraz 1" descr=""/>
        <xdr:cNvPicPr/>
      </xdr:nvPicPr>
      <xdr:blipFill>
        <a:blip r:embed="rId1"/>
        <a:stretch/>
      </xdr:blipFill>
      <xdr:spPr>
        <a:xfrm>
          <a:off x="6568560" y="171720"/>
          <a:ext cx="8987400" cy="3908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104760</xdr:colOff>
      <xdr:row>0</xdr:row>
      <xdr:rowOff>76320</xdr:rowOff>
    </xdr:from>
    <xdr:to>
      <xdr:col>9</xdr:col>
      <xdr:colOff>47160</xdr:colOff>
      <xdr:row>9</xdr:row>
      <xdr:rowOff>114120</xdr:rowOff>
    </xdr:to>
    <xdr:sp>
      <xdr:nvSpPr>
        <xdr:cNvPr id="1" name="Text Box 1"/>
        <xdr:cNvSpPr/>
      </xdr:nvSpPr>
      <xdr:spPr>
        <a:xfrm>
          <a:off x="104760" y="76320"/>
          <a:ext cx="6443640" cy="1495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>
            <a:lnSpc>
              <a:spcPct val="100000"/>
            </a:lnSpc>
          </a:pPr>
          <a:r>
            <a:rPr b="0" lang="pl-PL" sz="1200" spc="-1" strike="noStrike">
              <a:solidFill>
                <a:srgbClr val="000000"/>
              </a:solidFill>
              <a:latin typeface="Arial CE"/>
            </a:rPr>
            <a:t>Hodowca psów rasowych uważa, że prawidłowo karmiony pies musi otrzymywać odpowiednie dzienne dawki witamin w wysokości przynajmniej: witaminy C - 150j., D - 15j. i A - 25j. Hodowca może wykorzystać trzy specjalistyczne karmy dla psów, których ceny (zł/kg) wynoszą odpowiednio: K1 - 7zł., K2 - 5zł., K3 - 9zł. Należy przy tym pamiętać, że karmy K2 nie powinno się podawać więcej niż 450g dziennie. Zawartość witamin  w 1kg poszczególnych karm przedstawia tabela poniżej. Ułóż i rozwiąż liniowe zadanie decyzyjne minimalizujące koszt karmienia psów.</a:t>
          </a:r>
          <a:endParaRPr b="0" lang="zxx" sz="12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38520</xdr:colOff>
      <xdr:row>19</xdr:row>
      <xdr:rowOff>57240</xdr:rowOff>
    </xdr:to>
    <xdr:pic>
      <xdr:nvPicPr>
        <xdr:cNvPr id="2" name="Obraz 1" descr=""/>
        <xdr:cNvPicPr/>
      </xdr:nvPicPr>
      <xdr:blipFill>
        <a:blip r:embed="rId1"/>
        <a:stretch/>
      </xdr:blipFill>
      <xdr:spPr>
        <a:xfrm>
          <a:off x="0" y="0"/>
          <a:ext cx="6228000" cy="3495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Pakiet Office 2007–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5:L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8" activeCellId="2" sqref="B9 B9:C9 D38"/>
    </sheetView>
  </sheetViews>
  <sheetFormatPr defaultColWidth="8.59765625" defaultRowHeight="14.25" zeroHeight="false" outlineLevelRow="0" outlineLevelCol="0"/>
  <cols>
    <col collapsed="false" customWidth="true" hidden="false" outlineLevel="0" max="7" min="7" style="0" width="5.37"/>
    <col collapsed="false" customWidth="true" hidden="false" outlineLevel="0" max="9" min="9" style="0" width="10.5"/>
  </cols>
  <sheetData>
    <row r="15" customFormat="false" ht="14.25" hidden="false" customHeight="false" outlineLevel="0" collapsed="false">
      <c r="A15" s="0" t="s">
        <v>0</v>
      </c>
    </row>
    <row r="16" customFormat="false" ht="14.25" hidden="false" customHeight="false" outlineLevel="0" collapsed="false">
      <c r="D16" s="1" t="s">
        <v>1</v>
      </c>
      <c r="E16" s="1" t="s">
        <v>2</v>
      </c>
      <c r="F16" s="1" t="s">
        <v>3</v>
      </c>
    </row>
    <row r="17" customFormat="false" ht="14.25" hidden="false" customHeight="false" outlineLevel="0" collapsed="false">
      <c r="D17" s="2"/>
      <c r="E17" s="2"/>
      <c r="F17" s="2"/>
    </row>
    <row r="19" customFormat="false" ht="14.25" hidden="false" customHeight="false" outlineLevel="0" collapsed="false">
      <c r="A19" s="3" t="s">
        <v>4</v>
      </c>
      <c r="B19" s="3"/>
      <c r="C19" s="4" t="n">
        <v>20</v>
      </c>
      <c r="D19" s="4" t="n">
        <v>12</v>
      </c>
      <c r="E19" s="4" t="n">
        <v>7</v>
      </c>
      <c r="F19" s="5" t="n">
        <f aca="false">$D$17*C19+$E$17*D19+$F$17*E19</f>
        <v>0</v>
      </c>
      <c r="G19" s="6" t="s">
        <v>5</v>
      </c>
      <c r="H19" s="5" t="n">
        <v>12</v>
      </c>
    </row>
    <row r="20" customFormat="false" ht="14.25" hidden="false" customHeight="false" outlineLevel="0" collapsed="false">
      <c r="A20" s="3"/>
      <c r="B20" s="3"/>
      <c r="C20" s="4" t="n">
        <v>0.8</v>
      </c>
      <c r="D20" s="4" t="n">
        <v>1.3</v>
      </c>
      <c r="E20" s="4" t="n">
        <v>0.25</v>
      </c>
      <c r="F20" s="5" t="n">
        <f aca="false">$D$17*C20+$E$17*D20+$F$17*E20</f>
        <v>0</v>
      </c>
      <c r="G20" s="6" t="s">
        <v>5</v>
      </c>
      <c r="H20" s="5" t="n">
        <v>1</v>
      </c>
    </row>
    <row r="21" customFormat="false" ht="14.25" hidden="false" customHeight="false" outlineLevel="0" collapsed="false">
      <c r="A21" s="3"/>
      <c r="B21" s="3"/>
      <c r="C21" s="4" t="n">
        <v>1.3</v>
      </c>
      <c r="D21" s="4" t="n">
        <v>1.1</v>
      </c>
      <c r="E21" s="4" t="n">
        <v>4</v>
      </c>
      <c r="F21" s="5" t="n">
        <f aca="false">$D$17*C21+$E$17*D21+$F$17*E21</f>
        <v>0</v>
      </c>
      <c r="G21" s="6" t="s">
        <v>6</v>
      </c>
      <c r="H21" s="5" t="n">
        <v>2</v>
      </c>
    </row>
    <row r="22" customFormat="false" ht="14.25" hidden="false" customHeight="false" outlineLevel="0" collapsed="false">
      <c r="A22" s="3"/>
      <c r="B22" s="3"/>
      <c r="C22" s="4" t="n">
        <v>0.2</v>
      </c>
      <c r="D22" s="4" t="n">
        <v>1.1</v>
      </c>
      <c r="E22" s="4" t="n">
        <v>0.5</v>
      </c>
      <c r="F22" s="5" t="n">
        <f aca="false">$D$17*C22+$E$17*D22+$F$17*E22</f>
        <v>0</v>
      </c>
      <c r="G22" s="6" t="s">
        <v>6</v>
      </c>
      <c r="H22" s="5" t="n">
        <v>0.5</v>
      </c>
    </row>
    <row r="23" customFormat="false" ht="14.25" hidden="false" customHeight="false" outlineLevel="0" collapsed="false">
      <c r="A23" s="3"/>
      <c r="B23" s="3"/>
      <c r="C23" s="4" t="n">
        <v>1</v>
      </c>
      <c r="D23" s="4" t="n">
        <v>1</v>
      </c>
      <c r="E23" s="4" t="n">
        <v>1</v>
      </c>
      <c r="F23" s="5" t="n">
        <f aca="false">$D$17*C23+$E$17*D23+$F$17*E23</f>
        <v>0</v>
      </c>
      <c r="G23" s="6" t="s">
        <v>7</v>
      </c>
      <c r="H23" s="5" t="n">
        <v>1</v>
      </c>
    </row>
    <row r="24" customFormat="false" ht="14.25" hidden="false" customHeight="false" outlineLevel="0" collapsed="false">
      <c r="A24" s="3"/>
      <c r="B24" s="3"/>
      <c r="C24" s="4" t="n">
        <v>1</v>
      </c>
      <c r="D24" s="4" t="n">
        <v>0</v>
      </c>
      <c r="E24" s="4" t="n">
        <v>0</v>
      </c>
      <c r="F24" s="5" t="n">
        <f aca="false">$D$17*C24+$E$17*D24+$F$17*E24</f>
        <v>0</v>
      </c>
      <c r="G24" s="6" t="s">
        <v>6</v>
      </c>
      <c r="H24" s="5" t="n">
        <v>0</v>
      </c>
    </row>
    <row r="25" customFormat="false" ht="14.25" hidden="false" customHeight="false" outlineLevel="0" collapsed="false">
      <c r="A25" s="3"/>
      <c r="B25" s="3"/>
      <c r="C25" s="4" t="n">
        <v>0</v>
      </c>
      <c r="D25" s="4" t="n">
        <v>1</v>
      </c>
      <c r="E25" s="4" t="n">
        <v>0</v>
      </c>
      <c r="F25" s="5" t="n">
        <f aca="false">$D$17*C25+$E$17*D25+$F$17*E25</f>
        <v>0</v>
      </c>
      <c r="G25" s="6" t="s">
        <v>6</v>
      </c>
      <c r="H25" s="5" t="n">
        <v>0</v>
      </c>
    </row>
    <row r="26" customFormat="false" ht="14.25" hidden="false" customHeight="false" outlineLevel="0" collapsed="false">
      <c r="A26" s="3"/>
      <c r="B26" s="3"/>
      <c r="C26" s="4" t="n">
        <v>0</v>
      </c>
      <c r="D26" s="4" t="n">
        <v>0</v>
      </c>
      <c r="E26" s="4" t="n">
        <v>1</v>
      </c>
      <c r="F26" s="5" t="n">
        <f aca="false">$D$17*C26+$E$17*D26+$F$17*E26</f>
        <v>0</v>
      </c>
      <c r="G26" s="6" t="s">
        <v>6</v>
      </c>
      <c r="H26" s="5" t="n">
        <v>0</v>
      </c>
    </row>
    <row r="27" customFormat="false" ht="14.25" hidden="false" customHeight="false" outlineLevel="0" collapsed="false">
      <c r="A27" s="7" t="s">
        <v>8</v>
      </c>
      <c r="B27" s="7"/>
      <c r="C27" s="8" t="n">
        <v>30</v>
      </c>
      <c r="D27" s="8" t="n">
        <v>32</v>
      </c>
      <c r="E27" s="8" t="n">
        <v>45</v>
      </c>
      <c r="F27" s="9" t="n">
        <f aca="false">$D$17*C27+$E$17*D27+$F$17*E27</f>
        <v>0</v>
      </c>
      <c r="G27" s="6" t="s">
        <v>9</v>
      </c>
    </row>
    <row r="29" customFormat="false" ht="14.25" hidden="false" customHeight="true" outlineLevel="0" collapsed="false">
      <c r="A29" s="0" t="s">
        <v>10</v>
      </c>
      <c r="C29" s="10" t="s">
        <v>11</v>
      </c>
      <c r="D29" s="10"/>
      <c r="E29" s="10"/>
      <c r="F29" s="10"/>
      <c r="G29" s="10"/>
      <c r="H29" s="10"/>
      <c r="I29" s="10"/>
      <c r="J29" s="11"/>
      <c r="K29" s="11"/>
      <c r="L29" s="11"/>
    </row>
    <row r="30" customFormat="false" ht="14.25" hidden="false" customHeight="false" outlineLevel="0" collapsed="false">
      <c r="C30" s="10"/>
      <c r="D30" s="10"/>
      <c r="E30" s="10"/>
      <c r="F30" s="10"/>
      <c r="G30" s="10"/>
      <c r="H30" s="10"/>
      <c r="I30" s="10"/>
      <c r="J30" s="11"/>
      <c r="K30" s="11"/>
      <c r="L30" s="11"/>
    </row>
    <row r="31" customFormat="false" ht="14.25" hidden="false" customHeight="false" outlineLevel="0" collapsed="false">
      <c r="C31" s="10"/>
      <c r="D31" s="10"/>
      <c r="E31" s="10"/>
      <c r="F31" s="10"/>
      <c r="G31" s="10"/>
      <c r="H31" s="10"/>
      <c r="I31" s="10"/>
      <c r="J31" s="11"/>
      <c r="K31" s="11"/>
      <c r="L31" s="11"/>
    </row>
    <row r="32" customFormat="false" ht="14.25" hidden="false" customHeight="false" outlineLevel="0" collapsed="false">
      <c r="C32" s="0" t="s">
        <v>12</v>
      </c>
      <c r="D32" s="11"/>
      <c r="E32" s="11"/>
      <c r="F32" s="11"/>
      <c r="G32" s="11"/>
      <c r="H32" s="11"/>
      <c r="I32" s="11"/>
      <c r="J32" s="11"/>
      <c r="K32" s="11"/>
      <c r="L32" s="11"/>
    </row>
    <row r="33" customFormat="false" ht="14.25" hidden="false" customHeight="false" outlineLevel="0" collapsed="false">
      <c r="C33" s="0" t="s">
        <v>13</v>
      </c>
      <c r="D33" s="11"/>
      <c r="E33" s="11"/>
      <c r="F33" s="11"/>
      <c r="G33" s="11"/>
      <c r="H33" s="11"/>
      <c r="I33" s="11"/>
      <c r="J33" s="11"/>
      <c r="K33" s="11"/>
      <c r="L33" s="11"/>
    </row>
    <row r="34" customFormat="false" ht="14.25" hidden="false" customHeight="false" outlineLevel="0" collapsed="false">
      <c r="C34" s="0" t="s">
        <v>14</v>
      </c>
      <c r="D34" s="11"/>
      <c r="E34" s="11"/>
      <c r="F34" s="11"/>
      <c r="G34" s="11"/>
      <c r="H34" s="11"/>
      <c r="I34" s="11"/>
      <c r="J34" s="11"/>
      <c r="K34" s="11"/>
      <c r="L34" s="11"/>
    </row>
    <row r="35" customFormat="false" ht="14.25" hidden="false" customHeight="false" outlineLevel="0" collapsed="false">
      <c r="C35" s="0" t="s">
        <v>15</v>
      </c>
      <c r="D35" s="11"/>
      <c r="E35" s="11"/>
      <c r="F35" s="11"/>
      <c r="G35" s="11"/>
      <c r="H35" s="11"/>
      <c r="I35" s="11"/>
      <c r="J35" s="11"/>
      <c r="K35" s="11"/>
      <c r="L35" s="11"/>
    </row>
    <row r="37" customFormat="false" ht="14.25" hidden="false" customHeight="false" outlineLevel="0" collapsed="false">
      <c r="D37" s="1" t="s">
        <v>1</v>
      </c>
      <c r="E37" s="1" t="s">
        <v>2</v>
      </c>
      <c r="F37" s="1" t="s">
        <v>3</v>
      </c>
    </row>
    <row r="38" customFormat="false" ht="14.25" hidden="false" customHeight="false" outlineLevel="0" collapsed="false">
      <c r="D38" s="2"/>
      <c r="E38" s="2"/>
      <c r="F38" s="2"/>
    </row>
    <row r="40" customFormat="false" ht="14.25" hidden="false" customHeight="false" outlineLevel="0" collapsed="false">
      <c r="A40" s="3" t="s">
        <v>4</v>
      </c>
      <c r="B40" s="3"/>
      <c r="C40" s="4" t="n">
        <v>20</v>
      </c>
      <c r="D40" s="4" t="n">
        <v>12</v>
      </c>
      <c r="E40" s="4" t="n">
        <v>7</v>
      </c>
      <c r="F40" s="5" t="n">
        <f aca="false">$D$17*C40+$E$17*D40+$F$17*E40</f>
        <v>0</v>
      </c>
      <c r="G40" s="6" t="s">
        <v>5</v>
      </c>
      <c r="H40" s="5" t="n">
        <v>12</v>
      </c>
    </row>
    <row r="41" customFormat="false" ht="14.25" hidden="false" customHeight="false" outlineLevel="0" collapsed="false">
      <c r="A41" s="3"/>
      <c r="B41" s="3"/>
      <c r="C41" s="4" t="n">
        <v>0.8</v>
      </c>
      <c r="D41" s="4" t="n">
        <v>1.3</v>
      </c>
      <c r="E41" s="4" t="n">
        <v>0.25</v>
      </c>
      <c r="F41" s="5" t="n">
        <f aca="false">$D$17*C41+$E$17*D41+$F$17*E41</f>
        <v>0</v>
      </c>
      <c r="G41" s="6" t="s">
        <v>5</v>
      </c>
      <c r="H41" s="5" t="n">
        <v>1</v>
      </c>
    </row>
    <row r="42" customFormat="false" ht="14.25" hidden="false" customHeight="false" outlineLevel="0" collapsed="false">
      <c r="A42" s="3"/>
      <c r="B42" s="3"/>
      <c r="C42" s="4" t="n">
        <v>-1.3</v>
      </c>
      <c r="D42" s="4" t="n">
        <v>-1.1</v>
      </c>
      <c r="E42" s="4" t="n">
        <v>-4</v>
      </c>
      <c r="F42" s="5" t="n">
        <f aca="false">$D$17*C42+$E$17*D42+$F$17*E42</f>
        <v>-0</v>
      </c>
      <c r="G42" s="12" t="s">
        <v>5</v>
      </c>
      <c r="H42" s="5" t="n">
        <v>-2</v>
      </c>
    </row>
    <row r="43" customFormat="false" ht="14.25" hidden="false" customHeight="false" outlineLevel="0" collapsed="false">
      <c r="A43" s="3"/>
      <c r="B43" s="3"/>
      <c r="C43" s="4" t="n">
        <v>-0.2</v>
      </c>
      <c r="D43" s="4" t="n">
        <v>-1.1</v>
      </c>
      <c r="E43" s="4" t="n">
        <v>-0.5</v>
      </c>
      <c r="F43" s="5" t="n">
        <f aca="false">$D$17*C43+$E$17*D43+$F$17*E43</f>
        <v>-0</v>
      </c>
      <c r="G43" s="12" t="s">
        <v>5</v>
      </c>
      <c r="H43" s="5" t="n">
        <v>-0.5</v>
      </c>
    </row>
    <row r="44" customFormat="false" ht="14.25" hidden="false" customHeight="false" outlineLevel="0" collapsed="false">
      <c r="A44" s="3"/>
      <c r="B44" s="3"/>
      <c r="C44" s="4" t="n">
        <v>1</v>
      </c>
      <c r="D44" s="4" t="n">
        <v>1</v>
      </c>
      <c r="E44" s="4" t="n">
        <v>1</v>
      </c>
      <c r="F44" s="5" t="n">
        <f aca="false">$D$17*C44+$E$17*D44+$F$17*E44</f>
        <v>0</v>
      </c>
      <c r="G44" s="6" t="s">
        <v>7</v>
      </c>
      <c r="H44" s="5" t="n">
        <v>1</v>
      </c>
    </row>
    <row r="45" customFormat="false" ht="14.25" hidden="false" customHeight="false" outlineLevel="0" collapsed="false">
      <c r="A45" s="3"/>
      <c r="B45" s="3"/>
      <c r="C45" s="4" t="n">
        <v>1</v>
      </c>
      <c r="D45" s="4" t="n">
        <v>0</v>
      </c>
      <c r="E45" s="4" t="n">
        <v>0</v>
      </c>
      <c r="F45" s="5" t="n">
        <f aca="false">$D$17*C45+$E$17*D45+$F$17*E45</f>
        <v>0</v>
      </c>
      <c r="G45" s="6" t="s">
        <v>6</v>
      </c>
      <c r="H45" s="5" t="n">
        <v>0</v>
      </c>
    </row>
    <row r="46" customFormat="false" ht="14.25" hidden="false" customHeight="false" outlineLevel="0" collapsed="false">
      <c r="A46" s="3"/>
      <c r="B46" s="3"/>
      <c r="C46" s="4" t="n">
        <v>0</v>
      </c>
      <c r="D46" s="4" t="n">
        <v>1</v>
      </c>
      <c r="E46" s="4" t="n">
        <v>0</v>
      </c>
      <c r="F46" s="5" t="n">
        <f aca="false">$D$17*C46+$E$17*D46+$F$17*E46</f>
        <v>0</v>
      </c>
      <c r="G46" s="6" t="s">
        <v>6</v>
      </c>
      <c r="H46" s="5" t="n">
        <v>0</v>
      </c>
    </row>
    <row r="47" customFormat="false" ht="14.25" hidden="false" customHeight="false" outlineLevel="0" collapsed="false">
      <c r="A47" s="3"/>
      <c r="B47" s="3"/>
      <c r="C47" s="4" t="n">
        <v>0</v>
      </c>
      <c r="D47" s="4" t="n">
        <v>0</v>
      </c>
      <c r="E47" s="4" t="n">
        <v>1</v>
      </c>
      <c r="F47" s="5" t="n">
        <f aca="false">$D$17*C47+$E$17*D47+$F$17*E47</f>
        <v>0</v>
      </c>
      <c r="G47" s="6" t="s">
        <v>6</v>
      </c>
      <c r="H47" s="5" t="n">
        <v>0</v>
      </c>
    </row>
    <row r="48" customFormat="false" ht="14.25" hidden="false" customHeight="false" outlineLevel="0" collapsed="false">
      <c r="A48" s="7" t="s">
        <v>8</v>
      </c>
      <c r="B48" s="7"/>
      <c r="C48" s="8" t="n">
        <v>30</v>
      </c>
      <c r="D48" s="8" t="n">
        <v>32</v>
      </c>
      <c r="E48" s="8" t="n">
        <v>45</v>
      </c>
      <c r="F48" s="9" t="n">
        <f aca="false">$D$17*C48+$E$17*D48+$F$17*E48</f>
        <v>0</v>
      </c>
      <c r="G48" s="6" t="s">
        <v>9</v>
      </c>
    </row>
  </sheetData>
  <mergeCells count="1">
    <mergeCell ref="C29:I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2" sqref="B9 B9:C9 B1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46.5"/>
  </cols>
  <sheetData>
    <row r="1" customFormat="false" ht="15" hidden="false" customHeight="false" outlineLevel="0" collapsed="false">
      <c r="A1" s="13" t="s">
        <v>16</v>
      </c>
    </row>
    <row r="3" customFormat="false" ht="78" hidden="false" customHeight="true" outlineLevel="0" collapsed="false">
      <c r="A3" s="14" t="s">
        <v>17</v>
      </c>
      <c r="B3" s="14"/>
      <c r="C3" s="14"/>
      <c r="D3" s="14"/>
      <c r="E3" s="14"/>
      <c r="F3" s="14"/>
    </row>
    <row r="5" customFormat="false" ht="15" hidden="false" customHeight="false" outlineLevel="0" collapsed="false">
      <c r="B5" s="15"/>
      <c r="C5" s="16" t="s">
        <v>18</v>
      </c>
      <c r="D5" s="16" t="s">
        <v>19</v>
      </c>
      <c r="E5" s="16" t="s">
        <v>20</v>
      </c>
      <c r="F5" s="16" t="s">
        <v>21</v>
      </c>
    </row>
    <row r="6" customFormat="false" ht="15" hidden="false" customHeight="false" outlineLevel="0" collapsed="false">
      <c r="B6" s="17" t="s">
        <v>22</v>
      </c>
      <c r="C6" s="18" t="n">
        <v>5</v>
      </c>
      <c r="D6" s="18" t="n">
        <v>5</v>
      </c>
      <c r="E6" s="18" t="n">
        <v>6</v>
      </c>
      <c r="F6" s="18" t="n">
        <v>10</v>
      </c>
    </row>
    <row r="7" customFormat="false" ht="15" hidden="false" customHeight="false" outlineLevel="0" collapsed="false">
      <c r="B7" s="17" t="s">
        <v>23</v>
      </c>
      <c r="C7" s="18" t="n">
        <v>25</v>
      </c>
      <c r="D7" s="18" t="n">
        <v>10</v>
      </c>
      <c r="E7" s="18" t="n">
        <v>0</v>
      </c>
      <c r="F7" s="18" t="n">
        <v>10</v>
      </c>
    </row>
    <row r="8" customFormat="false" ht="15" hidden="false" customHeight="false" outlineLevel="0" collapsed="false">
      <c r="A8" s="13" t="s">
        <v>24</v>
      </c>
    </row>
    <row r="9" customFormat="false" ht="15" hidden="false" customHeight="false" outlineLevel="0" collapsed="false">
      <c r="A9" s="13" t="s">
        <v>25</v>
      </c>
    </row>
    <row r="10" customFormat="false" ht="15" hidden="false" customHeight="false" outlineLevel="0" collapsed="false">
      <c r="A10" s="13"/>
    </row>
    <row r="11" customFormat="false" ht="15" hidden="false" customHeight="false" outlineLevel="0" collapsed="false">
      <c r="A11" s="13"/>
    </row>
    <row r="12" customFormat="false" ht="15" hidden="false" customHeight="false" outlineLevel="0" collapsed="false">
      <c r="A12" s="13"/>
    </row>
    <row r="13" customFormat="false" ht="14.25" hidden="false" customHeight="false" outlineLevel="0" collapsed="false">
      <c r="B13" s="1" t="s">
        <v>26</v>
      </c>
      <c r="C13" s="1" t="s">
        <v>27</v>
      </c>
    </row>
    <row r="14" customFormat="false" ht="14.25" hidden="false" customHeight="false" outlineLevel="0" collapsed="false">
      <c r="B14" s="1"/>
      <c r="C14" s="1"/>
    </row>
    <row r="16" customFormat="false" ht="15" hidden="false" customHeight="false" outlineLevel="0" collapsed="false">
      <c r="A16" s="13" t="s">
        <v>28</v>
      </c>
      <c r="B16" s="19" t="n">
        <v>10</v>
      </c>
      <c r="C16" s="19" t="n">
        <v>30</v>
      </c>
      <c r="D16" s="19" t="n">
        <f aca="false">B16*$B$14+C16*$C$14</f>
        <v>0</v>
      </c>
      <c r="E16" s="6" t="s">
        <v>29</v>
      </c>
    </row>
    <row r="17" customFormat="false" ht="14.25" hidden="false" customHeight="false" outlineLevel="0" collapsed="false">
      <c r="A17" s="0" t="s">
        <v>30</v>
      </c>
      <c r="B17" s="20" t="n">
        <v>5</v>
      </c>
      <c r="C17" s="20" t="n">
        <v>25</v>
      </c>
      <c r="D17" s="20" t="n">
        <f aca="false">B17*$B$14+C17*$C$14</f>
        <v>0</v>
      </c>
      <c r="E17" s="6" t="s">
        <v>5</v>
      </c>
      <c r="F17" s="21" t="n">
        <v>1200</v>
      </c>
    </row>
    <row r="18" customFormat="false" ht="15" hidden="false" customHeight="false" outlineLevel="0" collapsed="false">
      <c r="A18" s="13" t="s">
        <v>31</v>
      </c>
      <c r="B18" s="20" t="n">
        <v>5</v>
      </c>
      <c r="C18" s="20" t="n">
        <v>10</v>
      </c>
      <c r="D18" s="20" t="n">
        <f aca="false">B18*$B$14+C18*$C$14</f>
        <v>0</v>
      </c>
      <c r="E18" s="6" t="s">
        <v>5</v>
      </c>
      <c r="F18" s="21" t="n">
        <v>600</v>
      </c>
    </row>
    <row r="19" customFormat="false" ht="14.25" hidden="false" customHeight="false" outlineLevel="0" collapsed="false">
      <c r="A19" s="0" t="s">
        <v>32</v>
      </c>
      <c r="B19" s="20" t="n">
        <v>6</v>
      </c>
      <c r="C19" s="20" t="n">
        <v>0</v>
      </c>
      <c r="D19" s="20" t="n">
        <f aca="false">B19*$B$14+C19*$C$14</f>
        <v>0</v>
      </c>
      <c r="E19" s="6" t="s">
        <v>5</v>
      </c>
      <c r="F19" s="21" t="n">
        <v>360</v>
      </c>
    </row>
    <row r="20" customFormat="false" ht="15" hidden="false" customHeight="false" outlineLevel="0" collapsed="false">
      <c r="A20" s="13" t="s">
        <v>33</v>
      </c>
      <c r="B20" s="20" t="n">
        <v>10</v>
      </c>
      <c r="C20" s="20" t="n">
        <v>10</v>
      </c>
      <c r="D20" s="20" t="n">
        <f aca="false">B20*$B$14+C20*$C$14</f>
        <v>0</v>
      </c>
      <c r="E20" s="6" t="s">
        <v>5</v>
      </c>
      <c r="F20" s="21" t="n">
        <v>900</v>
      </c>
    </row>
  </sheetData>
  <mergeCells count="1">
    <mergeCell ref="A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40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I25" activeCellId="2" sqref="B9 B9:C9 I25"/>
    </sheetView>
  </sheetViews>
  <sheetFormatPr defaultColWidth="9.00390625" defaultRowHeight="12.75" zeroHeight="false" outlineLevelRow="0" outlineLevelCol="0"/>
  <cols>
    <col collapsed="false" customWidth="true" hidden="false" outlineLevel="0" max="1" min="1" style="22" width="10.25"/>
    <col collapsed="false" customWidth="false" hidden="false" outlineLevel="0" max="6" min="2" style="22" width="9"/>
    <col collapsed="false" customWidth="true" hidden="false" outlineLevel="0" max="7" min="7" style="22" width="10.5"/>
    <col collapsed="false" customWidth="false" hidden="false" outlineLevel="0" max="256" min="8" style="22" width="9"/>
    <col collapsed="false" customWidth="true" hidden="false" outlineLevel="0" max="257" min="257" style="22" width="10.25"/>
    <col collapsed="false" customWidth="false" hidden="false" outlineLevel="0" max="262" min="258" style="22" width="9"/>
    <col collapsed="false" customWidth="true" hidden="false" outlineLevel="0" max="263" min="263" style="22" width="10.5"/>
    <col collapsed="false" customWidth="false" hidden="false" outlineLevel="0" max="512" min="264" style="22" width="9"/>
    <col collapsed="false" customWidth="true" hidden="false" outlineLevel="0" max="513" min="513" style="22" width="10.25"/>
    <col collapsed="false" customWidth="false" hidden="false" outlineLevel="0" max="518" min="514" style="22" width="9"/>
    <col collapsed="false" customWidth="true" hidden="false" outlineLevel="0" max="519" min="519" style="22" width="10.5"/>
    <col collapsed="false" customWidth="false" hidden="false" outlineLevel="0" max="768" min="520" style="22" width="9"/>
    <col collapsed="false" customWidth="true" hidden="false" outlineLevel="0" max="769" min="769" style="22" width="10.25"/>
    <col collapsed="false" customWidth="false" hidden="false" outlineLevel="0" max="774" min="770" style="22" width="9"/>
    <col collapsed="false" customWidth="true" hidden="false" outlineLevel="0" max="775" min="775" style="22" width="10.5"/>
    <col collapsed="false" customWidth="false" hidden="false" outlineLevel="0" max="1024" min="776" style="22" width="9"/>
    <col collapsed="false" customWidth="true" hidden="false" outlineLevel="0" max="1025" min="1025" style="22" width="10.25"/>
    <col collapsed="false" customWidth="false" hidden="false" outlineLevel="0" max="1030" min="1026" style="22" width="9"/>
    <col collapsed="false" customWidth="true" hidden="false" outlineLevel="0" max="1031" min="1031" style="22" width="10.5"/>
    <col collapsed="false" customWidth="false" hidden="false" outlineLevel="0" max="1280" min="1032" style="22" width="9"/>
    <col collapsed="false" customWidth="true" hidden="false" outlineLevel="0" max="1281" min="1281" style="22" width="10.25"/>
    <col collapsed="false" customWidth="false" hidden="false" outlineLevel="0" max="1286" min="1282" style="22" width="9"/>
    <col collapsed="false" customWidth="true" hidden="false" outlineLevel="0" max="1287" min="1287" style="22" width="10.5"/>
    <col collapsed="false" customWidth="false" hidden="false" outlineLevel="0" max="1536" min="1288" style="22" width="9"/>
    <col collapsed="false" customWidth="true" hidden="false" outlineLevel="0" max="1537" min="1537" style="22" width="10.25"/>
    <col collapsed="false" customWidth="false" hidden="false" outlineLevel="0" max="1542" min="1538" style="22" width="9"/>
    <col collapsed="false" customWidth="true" hidden="false" outlineLevel="0" max="1543" min="1543" style="22" width="10.5"/>
    <col collapsed="false" customWidth="false" hidden="false" outlineLevel="0" max="1792" min="1544" style="22" width="9"/>
    <col collapsed="false" customWidth="true" hidden="false" outlineLevel="0" max="1793" min="1793" style="22" width="10.25"/>
    <col collapsed="false" customWidth="false" hidden="false" outlineLevel="0" max="1798" min="1794" style="22" width="9"/>
    <col collapsed="false" customWidth="true" hidden="false" outlineLevel="0" max="1799" min="1799" style="22" width="10.5"/>
    <col collapsed="false" customWidth="false" hidden="false" outlineLevel="0" max="2048" min="1800" style="22" width="9"/>
    <col collapsed="false" customWidth="true" hidden="false" outlineLevel="0" max="2049" min="2049" style="22" width="10.25"/>
    <col collapsed="false" customWidth="false" hidden="false" outlineLevel="0" max="2054" min="2050" style="22" width="9"/>
    <col collapsed="false" customWidth="true" hidden="false" outlineLevel="0" max="2055" min="2055" style="22" width="10.5"/>
    <col collapsed="false" customWidth="false" hidden="false" outlineLevel="0" max="2304" min="2056" style="22" width="9"/>
    <col collapsed="false" customWidth="true" hidden="false" outlineLevel="0" max="2305" min="2305" style="22" width="10.25"/>
    <col collapsed="false" customWidth="false" hidden="false" outlineLevel="0" max="2310" min="2306" style="22" width="9"/>
    <col collapsed="false" customWidth="true" hidden="false" outlineLevel="0" max="2311" min="2311" style="22" width="10.5"/>
    <col collapsed="false" customWidth="false" hidden="false" outlineLevel="0" max="2560" min="2312" style="22" width="9"/>
    <col collapsed="false" customWidth="true" hidden="false" outlineLevel="0" max="2561" min="2561" style="22" width="10.25"/>
    <col collapsed="false" customWidth="false" hidden="false" outlineLevel="0" max="2566" min="2562" style="22" width="9"/>
    <col collapsed="false" customWidth="true" hidden="false" outlineLevel="0" max="2567" min="2567" style="22" width="10.5"/>
    <col collapsed="false" customWidth="false" hidden="false" outlineLevel="0" max="2816" min="2568" style="22" width="9"/>
    <col collapsed="false" customWidth="true" hidden="false" outlineLevel="0" max="2817" min="2817" style="22" width="10.25"/>
    <col collapsed="false" customWidth="false" hidden="false" outlineLevel="0" max="2822" min="2818" style="22" width="9"/>
    <col collapsed="false" customWidth="true" hidden="false" outlineLevel="0" max="2823" min="2823" style="22" width="10.5"/>
    <col collapsed="false" customWidth="false" hidden="false" outlineLevel="0" max="3072" min="2824" style="22" width="9"/>
    <col collapsed="false" customWidth="true" hidden="false" outlineLevel="0" max="3073" min="3073" style="22" width="10.25"/>
    <col collapsed="false" customWidth="false" hidden="false" outlineLevel="0" max="3078" min="3074" style="22" width="9"/>
    <col collapsed="false" customWidth="true" hidden="false" outlineLevel="0" max="3079" min="3079" style="22" width="10.5"/>
    <col collapsed="false" customWidth="false" hidden="false" outlineLevel="0" max="3328" min="3080" style="22" width="9"/>
    <col collapsed="false" customWidth="true" hidden="false" outlineLevel="0" max="3329" min="3329" style="22" width="10.25"/>
    <col collapsed="false" customWidth="false" hidden="false" outlineLevel="0" max="3334" min="3330" style="22" width="9"/>
    <col collapsed="false" customWidth="true" hidden="false" outlineLevel="0" max="3335" min="3335" style="22" width="10.5"/>
    <col collapsed="false" customWidth="false" hidden="false" outlineLevel="0" max="3584" min="3336" style="22" width="9"/>
    <col collapsed="false" customWidth="true" hidden="false" outlineLevel="0" max="3585" min="3585" style="22" width="10.25"/>
    <col collapsed="false" customWidth="false" hidden="false" outlineLevel="0" max="3590" min="3586" style="22" width="9"/>
    <col collapsed="false" customWidth="true" hidden="false" outlineLevel="0" max="3591" min="3591" style="22" width="10.5"/>
    <col collapsed="false" customWidth="false" hidden="false" outlineLevel="0" max="3840" min="3592" style="22" width="9"/>
    <col collapsed="false" customWidth="true" hidden="false" outlineLevel="0" max="3841" min="3841" style="22" width="10.25"/>
    <col collapsed="false" customWidth="false" hidden="false" outlineLevel="0" max="3846" min="3842" style="22" width="9"/>
    <col collapsed="false" customWidth="true" hidden="false" outlineLevel="0" max="3847" min="3847" style="22" width="10.5"/>
    <col collapsed="false" customWidth="false" hidden="false" outlineLevel="0" max="4096" min="3848" style="22" width="9"/>
    <col collapsed="false" customWidth="true" hidden="false" outlineLevel="0" max="4097" min="4097" style="22" width="10.25"/>
    <col collapsed="false" customWidth="false" hidden="false" outlineLevel="0" max="4102" min="4098" style="22" width="9"/>
    <col collapsed="false" customWidth="true" hidden="false" outlineLevel="0" max="4103" min="4103" style="22" width="10.5"/>
    <col collapsed="false" customWidth="false" hidden="false" outlineLevel="0" max="4352" min="4104" style="22" width="9"/>
    <col collapsed="false" customWidth="true" hidden="false" outlineLevel="0" max="4353" min="4353" style="22" width="10.25"/>
    <col collapsed="false" customWidth="false" hidden="false" outlineLevel="0" max="4358" min="4354" style="22" width="9"/>
    <col collapsed="false" customWidth="true" hidden="false" outlineLevel="0" max="4359" min="4359" style="22" width="10.5"/>
    <col collapsed="false" customWidth="false" hidden="false" outlineLevel="0" max="4608" min="4360" style="22" width="9"/>
    <col collapsed="false" customWidth="true" hidden="false" outlineLevel="0" max="4609" min="4609" style="22" width="10.25"/>
    <col collapsed="false" customWidth="false" hidden="false" outlineLevel="0" max="4614" min="4610" style="22" width="9"/>
    <col collapsed="false" customWidth="true" hidden="false" outlineLevel="0" max="4615" min="4615" style="22" width="10.5"/>
    <col collapsed="false" customWidth="false" hidden="false" outlineLevel="0" max="4864" min="4616" style="22" width="9"/>
    <col collapsed="false" customWidth="true" hidden="false" outlineLevel="0" max="4865" min="4865" style="22" width="10.25"/>
    <col collapsed="false" customWidth="false" hidden="false" outlineLevel="0" max="4870" min="4866" style="22" width="9"/>
    <col collapsed="false" customWidth="true" hidden="false" outlineLevel="0" max="4871" min="4871" style="22" width="10.5"/>
    <col collapsed="false" customWidth="false" hidden="false" outlineLevel="0" max="5120" min="4872" style="22" width="9"/>
    <col collapsed="false" customWidth="true" hidden="false" outlineLevel="0" max="5121" min="5121" style="22" width="10.25"/>
    <col collapsed="false" customWidth="false" hidden="false" outlineLevel="0" max="5126" min="5122" style="22" width="9"/>
    <col collapsed="false" customWidth="true" hidden="false" outlineLevel="0" max="5127" min="5127" style="22" width="10.5"/>
    <col collapsed="false" customWidth="false" hidden="false" outlineLevel="0" max="5376" min="5128" style="22" width="9"/>
    <col collapsed="false" customWidth="true" hidden="false" outlineLevel="0" max="5377" min="5377" style="22" width="10.25"/>
    <col collapsed="false" customWidth="false" hidden="false" outlineLevel="0" max="5382" min="5378" style="22" width="9"/>
    <col collapsed="false" customWidth="true" hidden="false" outlineLevel="0" max="5383" min="5383" style="22" width="10.5"/>
    <col collapsed="false" customWidth="false" hidden="false" outlineLevel="0" max="5632" min="5384" style="22" width="9"/>
    <col collapsed="false" customWidth="true" hidden="false" outlineLevel="0" max="5633" min="5633" style="22" width="10.25"/>
    <col collapsed="false" customWidth="false" hidden="false" outlineLevel="0" max="5638" min="5634" style="22" width="9"/>
    <col collapsed="false" customWidth="true" hidden="false" outlineLevel="0" max="5639" min="5639" style="22" width="10.5"/>
    <col collapsed="false" customWidth="false" hidden="false" outlineLevel="0" max="5888" min="5640" style="22" width="9"/>
    <col collapsed="false" customWidth="true" hidden="false" outlineLevel="0" max="5889" min="5889" style="22" width="10.25"/>
    <col collapsed="false" customWidth="false" hidden="false" outlineLevel="0" max="5894" min="5890" style="22" width="9"/>
    <col collapsed="false" customWidth="true" hidden="false" outlineLevel="0" max="5895" min="5895" style="22" width="10.5"/>
    <col collapsed="false" customWidth="false" hidden="false" outlineLevel="0" max="6144" min="5896" style="22" width="9"/>
    <col collapsed="false" customWidth="true" hidden="false" outlineLevel="0" max="6145" min="6145" style="22" width="10.25"/>
    <col collapsed="false" customWidth="false" hidden="false" outlineLevel="0" max="6150" min="6146" style="22" width="9"/>
    <col collapsed="false" customWidth="true" hidden="false" outlineLevel="0" max="6151" min="6151" style="22" width="10.5"/>
    <col collapsed="false" customWidth="false" hidden="false" outlineLevel="0" max="6400" min="6152" style="22" width="9"/>
    <col collapsed="false" customWidth="true" hidden="false" outlineLevel="0" max="6401" min="6401" style="22" width="10.25"/>
    <col collapsed="false" customWidth="false" hidden="false" outlineLevel="0" max="6406" min="6402" style="22" width="9"/>
    <col collapsed="false" customWidth="true" hidden="false" outlineLevel="0" max="6407" min="6407" style="22" width="10.5"/>
    <col collapsed="false" customWidth="false" hidden="false" outlineLevel="0" max="6656" min="6408" style="22" width="9"/>
    <col collapsed="false" customWidth="true" hidden="false" outlineLevel="0" max="6657" min="6657" style="22" width="10.25"/>
    <col collapsed="false" customWidth="false" hidden="false" outlineLevel="0" max="6662" min="6658" style="22" width="9"/>
    <col collapsed="false" customWidth="true" hidden="false" outlineLevel="0" max="6663" min="6663" style="22" width="10.5"/>
    <col collapsed="false" customWidth="false" hidden="false" outlineLevel="0" max="6912" min="6664" style="22" width="9"/>
    <col collapsed="false" customWidth="true" hidden="false" outlineLevel="0" max="6913" min="6913" style="22" width="10.25"/>
    <col collapsed="false" customWidth="false" hidden="false" outlineLevel="0" max="6918" min="6914" style="22" width="9"/>
    <col collapsed="false" customWidth="true" hidden="false" outlineLevel="0" max="6919" min="6919" style="22" width="10.5"/>
    <col collapsed="false" customWidth="false" hidden="false" outlineLevel="0" max="7168" min="6920" style="22" width="9"/>
    <col collapsed="false" customWidth="true" hidden="false" outlineLevel="0" max="7169" min="7169" style="22" width="10.25"/>
    <col collapsed="false" customWidth="false" hidden="false" outlineLevel="0" max="7174" min="7170" style="22" width="9"/>
    <col collapsed="false" customWidth="true" hidden="false" outlineLevel="0" max="7175" min="7175" style="22" width="10.5"/>
    <col collapsed="false" customWidth="false" hidden="false" outlineLevel="0" max="7424" min="7176" style="22" width="9"/>
    <col collapsed="false" customWidth="true" hidden="false" outlineLevel="0" max="7425" min="7425" style="22" width="10.25"/>
    <col collapsed="false" customWidth="false" hidden="false" outlineLevel="0" max="7430" min="7426" style="22" width="9"/>
    <col collapsed="false" customWidth="true" hidden="false" outlineLevel="0" max="7431" min="7431" style="22" width="10.5"/>
    <col collapsed="false" customWidth="false" hidden="false" outlineLevel="0" max="7680" min="7432" style="22" width="9"/>
    <col collapsed="false" customWidth="true" hidden="false" outlineLevel="0" max="7681" min="7681" style="22" width="10.25"/>
    <col collapsed="false" customWidth="false" hidden="false" outlineLevel="0" max="7686" min="7682" style="22" width="9"/>
    <col collapsed="false" customWidth="true" hidden="false" outlineLevel="0" max="7687" min="7687" style="22" width="10.5"/>
    <col collapsed="false" customWidth="false" hidden="false" outlineLevel="0" max="7936" min="7688" style="22" width="9"/>
    <col collapsed="false" customWidth="true" hidden="false" outlineLevel="0" max="7937" min="7937" style="22" width="10.25"/>
    <col collapsed="false" customWidth="false" hidden="false" outlineLevel="0" max="7942" min="7938" style="22" width="9"/>
    <col collapsed="false" customWidth="true" hidden="false" outlineLevel="0" max="7943" min="7943" style="22" width="10.5"/>
    <col collapsed="false" customWidth="false" hidden="false" outlineLevel="0" max="8192" min="7944" style="22" width="9"/>
    <col collapsed="false" customWidth="true" hidden="false" outlineLevel="0" max="8193" min="8193" style="22" width="10.25"/>
    <col collapsed="false" customWidth="false" hidden="false" outlineLevel="0" max="8198" min="8194" style="22" width="9"/>
    <col collapsed="false" customWidth="true" hidden="false" outlineLevel="0" max="8199" min="8199" style="22" width="10.5"/>
    <col collapsed="false" customWidth="false" hidden="false" outlineLevel="0" max="8448" min="8200" style="22" width="9"/>
    <col collapsed="false" customWidth="true" hidden="false" outlineLevel="0" max="8449" min="8449" style="22" width="10.25"/>
    <col collapsed="false" customWidth="false" hidden="false" outlineLevel="0" max="8454" min="8450" style="22" width="9"/>
    <col collapsed="false" customWidth="true" hidden="false" outlineLevel="0" max="8455" min="8455" style="22" width="10.5"/>
    <col collapsed="false" customWidth="false" hidden="false" outlineLevel="0" max="8704" min="8456" style="22" width="9"/>
    <col collapsed="false" customWidth="true" hidden="false" outlineLevel="0" max="8705" min="8705" style="22" width="10.25"/>
    <col collapsed="false" customWidth="false" hidden="false" outlineLevel="0" max="8710" min="8706" style="22" width="9"/>
    <col collapsed="false" customWidth="true" hidden="false" outlineLevel="0" max="8711" min="8711" style="22" width="10.5"/>
    <col collapsed="false" customWidth="false" hidden="false" outlineLevel="0" max="8960" min="8712" style="22" width="9"/>
    <col collapsed="false" customWidth="true" hidden="false" outlineLevel="0" max="8961" min="8961" style="22" width="10.25"/>
    <col collapsed="false" customWidth="false" hidden="false" outlineLevel="0" max="8966" min="8962" style="22" width="9"/>
    <col collapsed="false" customWidth="true" hidden="false" outlineLevel="0" max="8967" min="8967" style="22" width="10.5"/>
    <col collapsed="false" customWidth="false" hidden="false" outlineLevel="0" max="9216" min="8968" style="22" width="9"/>
    <col collapsed="false" customWidth="true" hidden="false" outlineLevel="0" max="9217" min="9217" style="22" width="10.25"/>
    <col collapsed="false" customWidth="false" hidden="false" outlineLevel="0" max="9222" min="9218" style="22" width="9"/>
    <col collapsed="false" customWidth="true" hidden="false" outlineLevel="0" max="9223" min="9223" style="22" width="10.5"/>
    <col collapsed="false" customWidth="false" hidden="false" outlineLevel="0" max="9472" min="9224" style="22" width="9"/>
    <col collapsed="false" customWidth="true" hidden="false" outlineLevel="0" max="9473" min="9473" style="22" width="10.25"/>
    <col collapsed="false" customWidth="false" hidden="false" outlineLevel="0" max="9478" min="9474" style="22" width="9"/>
    <col collapsed="false" customWidth="true" hidden="false" outlineLevel="0" max="9479" min="9479" style="22" width="10.5"/>
    <col collapsed="false" customWidth="false" hidden="false" outlineLevel="0" max="9728" min="9480" style="22" width="9"/>
    <col collapsed="false" customWidth="true" hidden="false" outlineLevel="0" max="9729" min="9729" style="22" width="10.25"/>
    <col collapsed="false" customWidth="false" hidden="false" outlineLevel="0" max="9734" min="9730" style="22" width="9"/>
    <col collapsed="false" customWidth="true" hidden="false" outlineLevel="0" max="9735" min="9735" style="22" width="10.5"/>
    <col collapsed="false" customWidth="false" hidden="false" outlineLevel="0" max="9984" min="9736" style="22" width="9"/>
    <col collapsed="false" customWidth="true" hidden="false" outlineLevel="0" max="9985" min="9985" style="22" width="10.25"/>
    <col collapsed="false" customWidth="false" hidden="false" outlineLevel="0" max="9990" min="9986" style="22" width="9"/>
    <col collapsed="false" customWidth="true" hidden="false" outlineLevel="0" max="9991" min="9991" style="22" width="10.5"/>
    <col collapsed="false" customWidth="false" hidden="false" outlineLevel="0" max="10240" min="9992" style="22" width="9"/>
    <col collapsed="false" customWidth="true" hidden="false" outlineLevel="0" max="10241" min="10241" style="22" width="10.25"/>
    <col collapsed="false" customWidth="false" hidden="false" outlineLevel="0" max="10246" min="10242" style="22" width="9"/>
    <col collapsed="false" customWidth="true" hidden="false" outlineLevel="0" max="10247" min="10247" style="22" width="10.5"/>
    <col collapsed="false" customWidth="false" hidden="false" outlineLevel="0" max="10496" min="10248" style="22" width="9"/>
    <col collapsed="false" customWidth="true" hidden="false" outlineLevel="0" max="10497" min="10497" style="22" width="10.25"/>
    <col collapsed="false" customWidth="false" hidden="false" outlineLevel="0" max="10502" min="10498" style="22" width="9"/>
    <col collapsed="false" customWidth="true" hidden="false" outlineLevel="0" max="10503" min="10503" style="22" width="10.5"/>
    <col collapsed="false" customWidth="false" hidden="false" outlineLevel="0" max="10752" min="10504" style="22" width="9"/>
    <col collapsed="false" customWidth="true" hidden="false" outlineLevel="0" max="10753" min="10753" style="22" width="10.25"/>
    <col collapsed="false" customWidth="false" hidden="false" outlineLevel="0" max="10758" min="10754" style="22" width="9"/>
    <col collapsed="false" customWidth="true" hidden="false" outlineLevel="0" max="10759" min="10759" style="22" width="10.5"/>
    <col collapsed="false" customWidth="false" hidden="false" outlineLevel="0" max="11008" min="10760" style="22" width="9"/>
    <col collapsed="false" customWidth="true" hidden="false" outlineLevel="0" max="11009" min="11009" style="22" width="10.25"/>
    <col collapsed="false" customWidth="false" hidden="false" outlineLevel="0" max="11014" min="11010" style="22" width="9"/>
    <col collapsed="false" customWidth="true" hidden="false" outlineLevel="0" max="11015" min="11015" style="22" width="10.5"/>
    <col collapsed="false" customWidth="false" hidden="false" outlineLevel="0" max="11264" min="11016" style="22" width="9"/>
    <col collapsed="false" customWidth="true" hidden="false" outlineLevel="0" max="11265" min="11265" style="22" width="10.25"/>
    <col collapsed="false" customWidth="false" hidden="false" outlineLevel="0" max="11270" min="11266" style="22" width="9"/>
    <col collapsed="false" customWidth="true" hidden="false" outlineLevel="0" max="11271" min="11271" style="22" width="10.5"/>
    <col collapsed="false" customWidth="false" hidden="false" outlineLevel="0" max="11520" min="11272" style="22" width="9"/>
    <col collapsed="false" customWidth="true" hidden="false" outlineLevel="0" max="11521" min="11521" style="22" width="10.25"/>
    <col collapsed="false" customWidth="false" hidden="false" outlineLevel="0" max="11526" min="11522" style="22" width="9"/>
    <col collapsed="false" customWidth="true" hidden="false" outlineLevel="0" max="11527" min="11527" style="22" width="10.5"/>
    <col collapsed="false" customWidth="false" hidden="false" outlineLevel="0" max="11776" min="11528" style="22" width="9"/>
    <col collapsed="false" customWidth="true" hidden="false" outlineLevel="0" max="11777" min="11777" style="22" width="10.25"/>
    <col collapsed="false" customWidth="false" hidden="false" outlineLevel="0" max="11782" min="11778" style="22" width="9"/>
    <col collapsed="false" customWidth="true" hidden="false" outlineLevel="0" max="11783" min="11783" style="22" width="10.5"/>
    <col collapsed="false" customWidth="false" hidden="false" outlineLevel="0" max="12032" min="11784" style="22" width="9"/>
    <col collapsed="false" customWidth="true" hidden="false" outlineLevel="0" max="12033" min="12033" style="22" width="10.25"/>
    <col collapsed="false" customWidth="false" hidden="false" outlineLevel="0" max="12038" min="12034" style="22" width="9"/>
    <col collapsed="false" customWidth="true" hidden="false" outlineLevel="0" max="12039" min="12039" style="22" width="10.5"/>
    <col collapsed="false" customWidth="false" hidden="false" outlineLevel="0" max="12288" min="12040" style="22" width="9"/>
    <col collapsed="false" customWidth="true" hidden="false" outlineLevel="0" max="12289" min="12289" style="22" width="10.25"/>
    <col collapsed="false" customWidth="false" hidden="false" outlineLevel="0" max="12294" min="12290" style="22" width="9"/>
    <col collapsed="false" customWidth="true" hidden="false" outlineLevel="0" max="12295" min="12295" style="22" width="10.5"/>
    <col collapsed="false" customWidth="false" hidden="false" outlineLevel="0" max="12544" min="12296" style="22" width="9"/>
    <col collapsed="false" customWidth="true" hidden="false" outlineLevel="0" max="12545" min="12545" style="22" width="10.25"/>
    <col collapsed="false" customWidth="false" hidden="false" outlineLevel="0" max="12550" min="12546" style="22" width="9"/>
    <col collapsed="false" customWidth="true" hidden="false" outlineLevel="0" max="12551" min="12551" style="22" width="10.5"/>
    <col collapsed="false" customWidth="false" hidden="false" outlineLevel="0" max="12800" min="12552" style="22" width="9"/>
    <col collapsed="false" customWidth="true" hidden="false" outlineLevel="0" max="12801" min="12801" style="22" width="10.25"/>
    <col collapsed="false" customWidth="false" hidden="false" outlineLevel="0" max="12806" min="12802" style="22" width="9"/>
    <col collapsed="false" customWidth="true" hidden="false" outlineLevel="0" max="12807" min="12807" style="22" width="10.5"/>
    <col collapsed="false" customWidth="false" hidden="false" outlineLevel="0" max="13056" min="12808" style="22" width="9"/>
    <col collapsed="false" customWidth="true" hidden="false" outlineLevel="0" max="13057" min="13057" style="22" width="10.25"/>
    <col collapsed="false" customWidth="false" hidden="false" outlineLevel="0" max="13062" min="13058" style="22" width="9"/>
    <col collapsed="false" customWidth="true" hidden="false" outlineLevel="0" max="13063" min="13063" style="22" width="10.5"/>
    <col collapsed="false" customWidth="false" hidden="false" outlineLevel="0" max="13312" min="13064" style="22" width="9"/>
    <col collapsed="false" customWidth="true" hidden="false" outlineLevel="0" max="13313" min="13313" style="22" width="10.25"/>
    <col collapsed="false" customWidth="false" hidden="false" outlineLevel="0" max="13318" min="13314" style="22" width="9"/>
    <col collapsed="false" customWidth="true" hidden="false" outlineLevel="0" max="13319" min="13319" style="22" width="10.5"/>
    <col collapsed="false" customWidth="false" hidden="false" outlineLevel="0" max="13568" min="13320" style="22" width="9"/>
    <col collapsed="false" customWidth="true" hidden="false" outlineLevel="0" max="13569" min="13569" style="22" width="10.25"/>
    <col collapsed="false" customWidth="false" hidden="false" outlineLevel="0" max="13574" min="13570" style="22" width="9"/>
    <col collapsed="false" customWidth="true" hidden="false" outlineLevel="0" max="13575" min="13575" style="22" width="10.5"/>
    <col collapsed="false" customWidth="false" hidden="false" outlineLevel="0" max="13824" min="13576" style="22" width="9"/>
    <col collapsed="false" customWidth="true" hidden="false" outlineLevel="0" max="13825" min="13825" style="22" width="10.25"/>
    <col collapsed="false" customWidth="false" hidden="false" outlineLevel="0" max="13830" min="13826" style="22" width="9"/>
    <col collapsed="false" customWidth="true" hidden="false" outlineLevel="0" max="13831" min="13831" style="22" width="10.5"/>
    <col collapsed="false" customWidth="false" hidden="false" outlineLevel="0" max="14080" min="13832" style="22" width="9"/>
    <col collapsed="false" customWidth="true" hidden="false" outlineLevel="0" max="14081" min="14081" style="22" width="10.25"/>
    <col collapsed="false" customWidth="false" hidden="false" outlineLevel="0" max="14086" min="14082" style="22" width="9"/>
    <col collapsed="false" customWidth="true" hidden="false" outlineLevel="0" max="14087" min="14087" style="22" width="10.5"/>
    <col collapsed="false" customWidth="false" hidden="false" outlineLevel="0" max="14336" min="14088" style="22" width="9"/>
    <col collapsed="false" customWidth="true" hidden="false" outlineLevel="0" max="14337" min="14337" style="22" width="10.25"/>
    <col collapsed="false" customWidth="false" hidden="false" outlineLevel="0" max="14342" min="14338" style="22" width="9"/>
    <col collapsed="false" customWidth="true" hidden="false" outlineLevel="0" max="14343" min="14343" style="22" width="10.5"/>
    <col collapsed="false" customWidth="false" hidden="false" outlineLevel="0" max="14592" min="14344" style="22" width="9"/>
    <col collapsed="false" customWidth="true" hidden="false" outlineLevel="0" max="14593" min="14593" style="22" width="10.25"/>
    <col collapsed="false" customWidth="false" hidden="false" outlineLevel="0" max="14598" min="14594" style="22" width="9"/>
    <col collapsed="false" customWidth="true" hidden="false" outlineLevel="0" max="14599" min="14599" style="22" width="10.5"/>
    <col collapsed="false" customWidth="false" hidden="false" outlineLevel="0" max="14848" min="14600" style="22" width="9"/>
    <col collapsed="false" customWidth="true" hidden="false" outlineLevel="0" max="14849" min="14849" style="22" width="10.25"/>
    <col collapsed="false" customWidth="false" hidden="false" outlineLevel="0" max="14854" min="14850" style="22" width="9"/>
    <col collapsed="false" customWidth="true" hidden="false" outlineLevel="0" max="14855" min="14855" style="22" width="10.5"/>
    <col collapsed="false" customWidth="false" hidden="false" outlineLevel="0" max="15104" min="14856" style="22" width="9"/>
    <col collapsed="false" customWidth="true" hidden="false" outlineLevel="0" max="15105" min="15105" style="22" width="10.25"/>
    <col collapsed="false" customWidth="false" hidden="false" outlineLevel="0" max="15110" min="15106" style="22" width="9"/>
    <col collapsed="false" customWidth="true" hidden="false" outlineLevel="0" max="15111" min="15111" style="22" width="10.5"/>
    <col collapsed="false" customWidth="false" hidden="false" outlineLevel="0" max="15360" min="15112" style="22" width="9"/>
    <col collapsed="false" customWidth="true" hidden="false" outlineLevel="0" max="15361" min="15361" style="22" width="10.25"/>
    <col collapsed="false" customWidth="false" hidden="false" outlineLevel="0" max="15366" min="15362" style="22" width="9"/>
    <col collapsed="false" customWidth="true" hidden="false" outlineLevel="0" max="15367" min="15367" style="22" width="10.5"/>
    <col collapsed="false" customWidth="false" hidden="false" outlineLevel="0" max="15616" min="15368" style="22" width="9"/>
    <col collapsed="false" customWidth="true" hidden="false" outlineLevel="0" max="15617" min="15617" style="22" width="10.25"/>
    <col collapsed="false" customWidth="false" hidden="false" outlineLevel="0" max="15622" min="15618" style="22" width="9"/>
    <col collapsed="false" customWidth="true" hidden="false" outlineLevel="0" max="15623" min="15623" style="22" width="10.5"/>
    <col collapsed="false" customWidth="false" hidden="false" outlineLevel="0" max="15872" min="15624" style="22" width="9"/>
    <col collapsed="false" customWidth="true" hidden="false" outlineLevel="0" max="15873" min="15873" style="22" width="10.25"/>
    <col collapsed="false" customWidth="false" hidden="false" outlineLevel="0" max="15878" min="15874" style="22" width="9"/>
    <col collapsed="false" customWidth="true" hidden="false" outlineLevel="0" max="15879" min="15879" style="22" width="10.5"/>
    <col collapsed="false" customWidth="false" hidden="false" outlineLevel="0" max="16128" min="15880" style="22" width="9"/>
    <col collapsed="false" customWidth="true" hidden="false" outlineLevel="0" max="16129" min="16129" style="22" width="10.25"/>
    <col collapsed="false" customWidth="false" hidden="false" outlineLevel="0" max="16134" min="16130" style="22" width="9"/>
    <col collapsed="false" customWidth="true" hidden="false" outlineLevel="0" max="16135" min="16135" style="22" width="10.5"/>
    <col collapsed="false" customWidth="false" hidden="false" outlineLevel="0" max="16384" min="16136" style="22" width="9"/>
  </cols>
  <sheetData>
    <row r="2" customFormat="false" ht="12.75" hidden="false" customHeight="false" outlineLevel="0" collapsed="false">
      <c r="A2" s="22" t="s">
        <v>34</v>
      </c>
    </row>
    <row r="3" customFormat="false" ht="12.75" hidden="false" customHeight="false" outlineLevel="0" collapsed="false">
      <c r="A3" s="22" t="s">
        <v>35</v>
      </c>
    </row>
    <row r="4" customFormat="false" ht="12.75" hidden="false" customHeight="false" outlineLevel="0" collapsed="false">
      <c r="A4" s="22" t="s">
        <v>36</v>
      </c>
    </row>
    <row r="5" customFormat="false" ht="12.75" hidden="false" customHeight="false" outlineLevel="0" collapsed="false">
      <c r="A5" s="22" t="s">
        <v>37</v>
      </c>
    </row>
    <row r="7" customFormat="false" ht="12.75" hidden="false" customHeight="false" outlineLevel="0" collapsed="false">
      <c r="A7" s="23"/>
      <c r="B7" s="24" t="s">
        <v>38</v>
      </c>
      <c r="C7" s="24" t="s">
        <v>39</v>
      </c>
      <c r="D7" s="24" t="s">
        <v>40</v>
      </c>
      <c r="E7" s="24" t="s">
        <v>41</v>
      </c>
      <c r="F7" s="24" t="s">
        <v>42</v>
      </c>
      <c r="G7" s="23" t="s">
        <v>43</v>
      </c>
    </row>
    <row r="8" customFormat="false" ht="12.75" hidden="false" customHeight="false" outlineLevel="0" collapsed="false">
      <c r="A8" s="25" t="s">
        <v>44</v>
      </c>
      <c r="B8" s="26" t="n">
        <v>3</v>
      </c>
      <c r="C8" s="27" t="n">
        <v>2</v>
      </c>
      <c r="D8" s="27" t="n">
        <v>3</v>
      </c>
      <c r="E8" s="27" t="n">
        <v>2</v>
      </c>
      <c r="F8" s="28" t="n">
        <v>1</v>
      </c>
      <c r="G8" s="29" t="n">
        <v>20</v>
      </c>
    </row>
    <row r="9" customFormat="false" ht="12.75" hidden="false" customHeight="false" outlineLevel="0" collapsed="false">
      <c r="A9" s="25" t="s">
        <v>45</v>
      </c>
      <c r="B9" s="30" t="n">
        <v>4</v>
      </c>
      <c r="C9" s="23" t="n">
        <v>2</v>
      </c>
      <c r="D9" s="23" t="n">
        <v>4</v>
      </c>
      <c r="E9" s="23" t="n">
        <v>2</v>
      </c>
      <c r="F9" s="31" t="n">
        <v>3</v>
      </c>
      <c r="G9" s="29" t="n">
        <v>7</v>
      </c>
    </row>
    <row r="10" customFormat="false" ht="12.75" hidden="false" customHeight="false" outlineLevel="0" collapsed="false">
      <c r="A10" s="25" t="s">
        <v>46</v>
      </c>
      <c r="B10" s="30" t="n">
        <v>3</v>
      </c>
      <c r="C10" s="23" t="n">
        <v>1</v>
      </c>
      <c r="D10" s="23" t="n">
        <v>5</v>
      </c>
      <c r="E10" s="23" t="n">
        <v>4</v>
      </c>
      <c r="F10" s="31" t="n">
        <v>3</v>
      </c>
      <c r="G10" s="29" t="n">
        <v>15</v>
      </c>
    </row>
    <row r="11" customFormat="false" ht="12.75" hidden="false" customHeight="false" outlineLevel="0" collapsed="false">
      <c r="A11" s="25" t="s">
        <v>47</v>
      </c>
      <c r="B11" s="32" t="n">
        <v>2</v>
      </c>
      <c r="C11" s="33" t="n">
        <v>4</v>
      </c>
      <c r="D11" s="33" t="n">
        <v>1</v>
      </c>
      <c r="E11" s="33" t="n">
        <v>2</v>
      </c>
      <c r="F11" s="34" t="n">
        <v>2</v>
      </c>
      <c r="G11" s="29" t="n">
        <v>8</v>
      </c>
    </row>
    <row r="12" customFormat="false" ht="12.75" hidden="false" customHeight="false" outlineLevel="0" collapsed="false">
      <c r="A12" s="23" t="s">
        <v>48</v>
      </c>
      <c r="B12" s="35" t="n">
        <v>8</v>
      </c>
      <c r="C12" s="35" t="n">
        <v>12</v>
      </c>
      <c r="D12" s="35" t="n">
        <v>10</v>
      </c>
      <c r="E12" s="35" t="n">
        <v>5</v>
      </c>
      <c r="F12" s="35" t="n">
        <v>15</v>
      </c>
      <c r="G12" s="23" t="s">
        <v>49</v>
      </c>
      <c r="H12" s="22" t="n">
        <f aca="false">SUM(B12:F12)</f>
        <v>50</v>
      </c>
    </row>
    <row r="13" customFormat="false" ht="12.75" hidden="false" customHeight="false" outlineLevel="0" collapsed="false">
      <c r="G13" s="22" t="n">
        <f aca="false">SUM(G8:G11)</f>
        <v>50</v>
      </c>
      <c r="H13" s="36" t="s">
        <v>50</v>
      </c>
    </row>
    <row r="15" customFormat="false" ht="12.75" hidden="false" customHeight="false" outlineLevel="0" collapsed="false">
      <c r="A15" s="37" t="s">
        <v>51</v>
      </c>
    </row>
    <row r="16" customFormat="false" ht="12.75" hidden="false" customHeight="false" outlineLevel="0" collapsed="false">
      <c r="A16" s="37" t="s">
        <v>52</v>
      </c>
    </row>
    <row r="17" customFormat="false" ht="12.75" hidden="false" customHeight="false" outlineLevel="0" collapsed="false">
      <c r="A17" s="23"/>
      <c r="B17" s="24" t="s">
        <v>38</v>
      </c>
      <c r="C17" s="24" t="s">
        <v>39</v>
      </c>
      <c r="D17" s="24" t="s">
        <v>40</v>
      </c>
      <c r="E17" s="24" t="s">
        <v>41</v>
      </c>
      <c r="F17" s="24" t="s">
        <v>42</v>
      </c>
    </row>
    <row r="18" customFormat="false" ht="12.75" hidden="false" customHeight="false" outlineLevel="0" collapsed="false">
      <c r="A18" s="25" t="s">
        <v>44</v>
      </c>
      <c r="B18" s="38"/>
      <c r="C18" s="39"/>
      <c r="D18" s="39"/>
      <c r="E18" s="39"/>
      <c r="F18" s="40"/>
    </row>
    <row r="19" customFormat="false" ht="12.75" hidden="false" customHeight="false" outlineLevel="0" collapsed="false">
      <c r="A19" s="25" t="s">
        <v>45</v>
      </c>
      <c r="B19" s="41"/>
      <c r="C19" s="42"/>
      <c r="D19" s="42"/>
      <c r="E19" s="42"/>
      <c r="F19" s="43"/>
    </row>
    <row r="20" customFormat="false" ht="12.75" hidden="false" customHeight="false" outlineLevel="0" collapsed="false">
      <c r="A20" s="25" t="s">
        <v>46</v>
      </c>
      <c r="B20" s="41"/>
      <c r="C20" s="42"/>
      <c r="D20" s="42"/>
      <c r="E20" s="42"/>
      <c r="F20" s="43"/>
    </row>
    <row r="21" customFormat="false" ht="12.75" hidden="false" customHeight="false" outlineLevel="0" collapsed="false">
      <c r="A21" s="25" t="s">
        <v>47</v>
      </c>
      <c r="B21" s="44"/>
      <c r="C21" s="45"/>
      <c r="D21" s="45"/>
      <c r="E21" s="45"/>
      <c r="F21" s="46"/>
    </row>
    <row r="24" customFormat="false" ht="12.75" hidden="false" customHeight="false" outlineLevel="0" collapsed="false">
      <c r="A24" s="37" t="s">
        <v>53</v>
      </c>
    </row>
    <row r="25" customFormat="false" ht="12.75" hidden="false" customHeight="false" outlineLevel="0" collapsed="false">
      <c r="A25" s="23"/>
      <c r="B25" s="24" t="s">
        <v>38</v>
      </c>
      <c r="C25" s="24" t="s">
        <v>39</v>
      </c>
      <c r="D25" s="24" t="s">
        <v>40</v>
      </c>
      <c r="E25" s="24" t="s">
        <v>41</v>
      </c>
      <c r="F25" s="47" t="s">
        <v>42</v>
      </c>
      <c r="G25" s="24" t="s">
        <v>49</v>
      </c>
    </row>
    <row r="26" customFormat="false" ht="12.75" hidden="false" customHeight="false" outlineLevel="0" collapsed="false">
      <c r="A26" s="25" t="s">
        <v>44</v>
      </c>
      <c r="B26" s="48" t="n">
        <f aca="false">B18*B8</f>
        <v>0</v>
      </c>
      <c r="C26" s="48" t="n">
        <f aca="false">C18*C8</f>
        <v>0</v>
      </c>
      <c r="D26" s="48" t="n">
        <f aca="false">D18*D8</f>
        <v>0</v>
      </c>
      <c r="E26" s="48" t="n">
        <f aca="false">E18*E8</f>
        <v>0</v>
      </c>
      <c r="F26" s="49" t="n">
        <f aca="false">F18*F8</f>
        <v>0</v>
      </c>
      <c r="G26" s="50" t="n">
        <f aca="false">SUM(B26:F26)</f>
        <v>0</v>
      </c>
    </row>
    <row r="27" customFormat="false" ht="12.75" hidden="false" customHeight="false" outlineLevel="0" collapsed="false">
      <c r="A27" s="25" t="s">
        <v>45</v>
      </c>
      <c r="B27" s="48" t="n">
        <f aca="false">B19*B9</f>
        <v>0</v>
      </c>
      <c r="C27" s="48" t="n">
        <f aca="false">C19*C9</f>
        <v>0</v>
      </c>
      <c r="D27" s="48" t="n">
        <f aca="false">D19*D9</f>
        <v>0</v>
      </c>
      <c r="E27" s="48" t="n">
        <f aca="false">E19*E9</f>
        <v>0</v>
      </c>
      <c r="F27" s="49" t="n">
        <f aca="false">F19*F9</f>
        <v>0</v>
      </c>
      <c r="G27" s="51" t="n">
        <f aca="false">SUM(B27:F27)</f>
        <v>0</v>
      </c>
    </row>
    <row r="28" customFormat="false" ht="12.75" hidden="false" customHeight="false" outlineLevel="0" collapsed="false">
      <c r="A28" s="25" t="s">
        <v>46</v>
      </c>
      <c r="B28" s="48" t="n">
        <f aca="false">B20*B10</f>
        <v>0</v>
      </c>
      <c r="C28" s="48" t="n">
        <f aca="false">C20*C10</f>
        <v>0</v>
      </c>
      <c r="D28" s="48" t="n">
        <f aca="false">D20*D10</f>
        <v>0</v>
      </c>
      <c r="E28" s="48" t="n">
        <f aca="false">E20*E10</f>
        <v>0</v>
      </c>
      <c r="F28" s="49" t="n">
        <f aca="false">F20*F10</f>
        <v>0</v>
      </c>
      <c r="G28" s="51" t="n">
        <f aca="false">SUM(B28:F28)</f>
        <v>0</v>
      </c>
    </row>
    <row r="29" customFormat="false" ht="12.75" hidden="false" customHeight="false" outlineLevel="0" collapsed="false">
      <c r="A29" s="25" t="s">
        <v>47</v>
      </c>
      <c r="B29" s="48" t="n">
        <f aca="false">B21*B11</f>
        <v>0</v>
      </c>
      <c r="C29" s="48" t="n">
        <f aca="false">C21*C11</f>
        <v>0</v>
      </c>
      <c r="D29" s="48" t="n">
        <f aca="false">D21*D11</f>
        <v>0</v>
      </c>
      <c r="E29" s="48" t="n">
        <f aca="false">E21*E11</f>
        <v>0</v>
      </c>
      <c r="F29" s="49" t="n">
        <f aca="false">F21*F11</f>
        <v>0</v>
      </c>
      <c r="G29" s="52" t="n">
        <f aca="false">SUM(B29:F29)</f>
        <v>0</v>
      </c>
    </row>
    <row r="30" customFormat="false" ht="12.75" hidden="false" customHeight="false" outlineLevel="0" collapsed="false">
      <c r="G30" s="53" t="n">
        <f aca="false">SUM(G26:G29)</f>
        <v>0</v>
      </c>
      <c r="H30" s="22" t="s">
        <v>9</v>
      </c>
    </row>
    <row r="32" customFormat="false" ht="12.75" hidden="false" customHeight="false" outlineLevel="0" collapsed="false">
      <c r="A32" s="37" t="s">
        <v>54</v>
      </c>
    </row>
    <row r="33" customFormat="false" ht="12.75" hidden="false" customHeight="false" outlineLevel="0" collapsed="false">
      <c r="A33" s="23"/>
      <c r="B33" s="24" t="s">
        <v>38</v>
      </c>
      <c r="C33" s="24" t="s">
        <v>39</v>
      </c>
      <c r="D33" s="24" t="s">
        <v>40</v>
      </c>
      <c r="E33" s="24" t="s">
        <v>41</v>
      </c>
      <c r="F33" s="47" t="s">
        <v>42</v>
      </c>
      <c r="G33" s="23" t="s">
        <v>49</v>
      </c>
      <c r="H33" s="23"/>
      <c r="I33" s="29" t="s">
        <v>43</v>
      </c>
    </row>
    <row r="34" customFormat="false" ht="12.75" hidden="false" customHeight="false" outlineLevel="0" collapsed="false">
      <c r="A34" s="25" t="s">
        <v>44</v>
      </c>
      <c r="B34" s="26" t="n">
        <f aca="false">B18</f>
        <v>0</v>
      </c>
      <c r="C34" s="26" t="n">
        <f aca="false">C18</f>
        <v>0</v>
      </c>
      <c r="D34" s="26" t="n">
        <f aca="false">D18</f>
        <v>0</v>
      </c>
      <c r="E34" s="26" t="n">
        <f aca="false">E18</f>
        <v>0</v>
      </c>
      <c r="F34" s="54" t="n">
        <f aca="false">F18</f>
        <v>0</v>
      </c>
      <c r="G34" s="55" t="n">
        <f aca="false">SUM(B34:F34)</f>
        <v>0</v>
      </c>
      <c r="H34" s="56" t="s">
        <v>7</v>
      </c>
      <c r="I34" s="57" t="n">
        <v>20</v>
      </c>
    </row>
    <row r="35" customFormat="false" ht="12.75" hidden="false" customHeight="false" outlineLevel="0" collapsed="false">
      <c r="A35" s="25" t="s">
        <v>45</v>
      </c>
      <c r="B35" s="26" t="n">
        <f aca="false">B19</f>
        <v>0</v>
      </c>
      <c r="C35" s="26" t="n">
        <f aca="false">C19</f>
        <v>0</v>
      </c>
      <c r="D35" s="26" t="n">
        <f aca="false">D19</f>
        <v>0</v>
      </c>
      <c r="E35" s="26" t="n">
        <f aca="false">E19</f>
        <v>0</v>
      </c>
      <c r="F35" s="54" t="n">
        <f aca="false">F19</f>
        <v>0</v>
      </c>
      <c r="G35" s="55" t="n">
        <f aca="false">SUM(B35:F35)</f>
        <v>0</v>
      </c>
      <c r="H35" s="56" t="s">
        <v>7</v>
      </c>
      <c r="I35" s="57" t="n">
        <v>7</v>
      </c>
    </row>
    <row r="36" customFormat="false" ht="12.75" hidden="false" customHeight="false" outlineLevel="0" collapsed="false">
      <c r="A36" s="25" t="s">
        <v>46</v>
      </c>
      <c r="B36" s="26" t="n">
        <f aca="false">B20</f>
        <v>0</v>
      </c>
      <c r="C36" s="26" t="n">
        <f aca="false">C20</f>
        <v>0</v>
      </c>
      <c r="D36" s="26" t="n">
        <f aca="false">D20</f>
        <v>0</v>
      </c>
      <c r="E36" s="26" t="n">
        <f aca="false">E20</f>
        <v>0</v>
      </c>
      <c r="F36" s="54" t="n">
        <f aca="false">F20</f>
        <v>0</v>
      </c>
      <c r="G36" s="55" t="n">
        <f aca="false">SUM(B36:F36)</f>
        <v>0</v>
      </c>
      <c r="H36" s="56" t="s">
        <v>7</v>
      </c>
      <c r="I36" s="57" t="n">
        <v>15</v>
      </c>
    </row>
    <row r="37" customFormat="false" ht="12.75" hidden="false" customHeight="false" outlineLevel="0" collapsed="false">
      <c r="A37" s="47" t="s">
        <v>47</v>
      </c>
      <c r="B37" s="58" t="n">
        <f aca="false">B21</f>
        <v>0</v>
      </c>
      <c r="C37" s="58" t="n">
        <f aca="false">C21</f>
        <v>0</v>
      </c>
      <c r="D37" s="58" t="n">
        <f aca="false">D21</f>
        <v>0</v>
      </c>
      <c r="E37" s="58" t="n">
        <f aca="false">E21</f>
        <v>0</v>
      </c>
      <c r="F37" s="59" t="n">
        <f aca="false">F21</f>
        <v>0</v>
      </c>
      <c r="G37" s="55" t="n">
        <f aca="false">SUM(B37:F37)</f>
        <v>0</v>
      </c>
      <c r="H37" s="56" t="s">
        <v>7</v>
      </c>
      <c r="I37" s="57" t="n">
        <v>8</v>
      </c>
    </row>
    <row r="38" customFormat="false" ht="12.75" hidden="false" customHeight="false" outlineLevel="0" collapsed="false">
      <c r="A38" s="23" t="s">
        <v>49</v>
      </c>
      <c r="B38" s="53" t="n">
        <f aca="false">SUM(B34:B37)</f>
        <v>0</v>
      </c>
      <c r="C38" s="53" t="n">
        <f aca="false">SUM(C34:C37)</f>
        <v>0</v>
      </c>
      <c r="D38" s="53" t="n">
        <f aca="false">SUM(D34:D37)</f>
        <v>0</v>
      </c>
      <c r="E38" s="53" t="n">
        <f aca="false">SUM(E34:E37)</f>
        <v>0</v>
      </c>
      <c r="F38" s="53" t="n">
        <f aca="false">SUM(F34:F37)</f>
        <v>0</v>
      </c>
      <c r="G38" s="47"/>
      <c r="H38" s="56"/>
      <c r="I38" s="29"/>
    </row>
    <row r="39" customFormat="false" ht="12.75" hidden="false" customHeight="false" outlineLevel="0" collapsed="false">
      <c r="A39" s="23"/>
      <c r="B39" s="56" t="s">
        <v>7</v>
      </c>
      <c r="C39" s="56" t="s">
        <v>7</v>
      </c>
      <c r="D39" s="56" t="s">
        <v>7</v>
      </c>
      <c r="E39" s="56" t="s">
        <v>7</v>
      </c>
      <c r="F39" s="56" t="s">
        <v>7</v>
      </c>
      <c r="G39" s="56"/>
      <c r="H39" s="23"/>
      <c r="I39" s="29"/>
    </row>
    <row r="40" customFormat="false" ht="12.75" hidden="false" customHeight="false" outlineLevel="0" collapsed="false">
      <c r="A40" s="23" t="s">
        <v>48</v>
      </c>
      <c r="B40" s="60" t="n">
        <v>8</v>
      </c>
      <c r="C40" s="60" t="n">
        <v>12</v>
      </c>
      <c r="D40" s="60" t="n">
        <v>10</v>
      </c>
      <c r="E40" s="60" t="n">
        <v>5</v>
      </c>
      <c r="F40" s="60" t="n">
        <v>15</v>
      </c>
      <c r="G40" s="23"/>
      <c r="H40" s="23"/>
      <c r="I40" s="29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1" sqref="B9 B9:C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7.28"/>
  </cols>
  <sheetData>
    <row r="1" customFormat="false" ht="14.25" hidden="false" customHeight="false" outlineLevel="0" collapsed="false">
      <c r="B1" s="0" t="s">
        <v>22</v>
      </c>
      <c r="C1" s="0" t="s">
        <v>23</v>
      </c>
    </row>
    <row r="2" customFormat="false" ht="14.25" hidden="false" customHeight="false" outlineLevel="0" collapsed="false">
      <c r="A2" s="0" t="s">
        <v>55</v>
      </c>
      <c r="B2" s="0" t="n">
        <v>30</v>
      </c>
      <c r="C2" s="0" t="n">
        <v>40</v>
      </c>
    </row>
    <row r="3" customFormat="false" ht="14.25" hidden="false" customHeight="false" outlineLevel="0" collapsed="false">
      <c r="A3" s="0" t="s">
        <v>56</v>
      </c>
      <c r="B3" s="0" t="n">
        <v>16</v>
      </c>
      <c r="C3" s="0" t="n">
        <v>24</v>
      </c>
      <c r="D3" s="61"/>
      <c r="E3" s="61"/>
    </row>
    <row r="4" customFormat="false" ht="14.25" hidden="false" customHeight="false" outlineLevel="0" collapsed="false">
      <c r="A4" s="0" t="s">
        <v>57</v>
      </c>
      <c r="B4" s="0" t="n">
        <v>16</v>
      </c>
      <c r="C4" s="0" t="n">
        <v>10</v>
      </c>
      <c r="D4" s="61"/>
    </row>
    <row r="5" customFormat="false" ht="14.25" hidden="false" customHeight="false" outlineLevel="0" collapsed="false">
      <c r="A5" s="0" t="s">
        <v>58</v>
      </c>
      <c r="B5" s="0" t="n">
        <v>1</v>
      </c>
      <c r="C5" s="0" t="n">
        <v>0</v>
      </c>
    </row>
    <row r="6" customFormat="false" ht="14.25" hidden="false" customHeight="false" outlineLevel="0" collapsed="false">
      <c r="A6" s="0" t="s">
        <v>59</v>
      </c>
      <c r="B6" s="0" t="n">
        <v>0</v>
      </c>
      <c r="C6" s="0" t="n">
        <v>1</v>
      </c>
    </row>
    <row r="7" customFormat="false" ht="14.25" hidden="false" customHeight="false" outlineLevel="0" collapsed="false">
      <c r="A7" s="0" t="s">
        <v>60</v>
      </c>
      <c r="B7" s="0" t="n">
        <v>2</v>
      </c>
      <c r="C7" s="0" t="n">
        <v>-3</v>
      </c>
    </row>
    <row r="9" customFormat="false" ht="16.4" hidden="false" customHeight="false" outlineLevel="0" collapsed="false">
      <c r="A9" s="0" t="s">
        <v>61</v>
      </c>
      <c r="B9" s="61" t="n">
        <v>0</v>
      </c>
      <c r="C9" s="62" t="n">
        <v>0</v>
      </c>
    </row>
    <row r="11" customFormat="false" ht="16.4" hidden="false" customHeight="false" outlineLevel="0" collapsed="false">
      <c r="A11" s="0" t="s">
        <v>62</v>
      </c>
      <c r="B11" s="61"/>
    </row>
    <row r="27" customFormat="false" ht="14.25" hidden="false" customHeight="false" outlineLevel="0" collapsed="false">
      <c r="B27" s="6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4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2" sqref="B9 B9:C9 F15"/>
    </sheetView>
  </sheetViews>
  <sheetFormatPr defaultColWidth="9.00390625" defaultRowHeight="12.75" zeroHeight="false" outlineLevelRow="0" outlineLevelCol="0"/>
  <cols>
    <col collapsed="false" customWidth="true" hidden="false" outlineLevel="0" max="1" min="1" style="64" width="9.26"/>
    <col collapsed="false" customWidth="false" hidden="false" outlineLevel="0" max="256" min="2" style="64" width="9"/>
    <col collapsed="false" customWidth="true" hidden="false" outlineLevel="0" max="257" min="257" style="64" width="9.26"/>
    <col collapsed="false" customWidth="false" hidden="false" outlineLevel="0" max="512" min="258" style="64" width="9"/>
    <col collapsed="false" customWidth="true" hidden="false" outlineLevel="0" max="513" min="513" style="64" width="9.26"/>
    <col collapsed="false" customWidth="false" hidden="false" outlineLevel="0" max="768" min="514" style="64" width="9"/>
    <col collapsed="false" customWidth="true" hidden="false" outlineLevel="0" max="769" min="769" style="64" width="9.26"/>
    <col collapsed="false" customWidth="false" hidden="false" outlineLevel="0" max="1024" min="770" style="64" width="9"/>
    <col collapsed="false" customWidth="true" hidden="false" outlineLevel="0" max="1025" min="1025" style="64" width="9.26"/>
    <col collapsed="false" customWidth="false" hidden="false" outlineLevel="0" max="1280" min="1026" style="64" width="9"/>
    <col collapsed="false" customWidth="true" hidden="false" outlineLevel="0" max="1281" min="1281" style="64" width="9.26"/>
    <col collapsed="false" customWidth="false" hidden="false" outlineLevel="0" max="1536" min="1282" style="64" width="9"/>
    <col collapsed="false" customWidth="true" hidden="false" outlineLevel="0" max="1537" min="1537" style="64" width="9.26"/>
    <col collapsed="false" customWidth="false" hidden="false" outlineLevel="0" max="1792" min="1538" style="64" width="9"/>
    <col collapsed="false" customWidth="true" hidden="false" outlineLevel="0" max="1793" min="1793" style="64" width="9.26"/>
    <col collapsed="false" customWidth="false" hidden="false" outlineLevel="0" max="2048" min="1794" style="64" width="9"/>
    <col collapsed="false" customWidth="true" hidden="false" outlineLevel="0" max="2049" min="2049" style="64" width="9.26"/>
    <col collapsed="false" customWidth="false" hidden="false" outlineLevel="0" max="2304" min="2050" style="64" width="9"/>
    <col collapsed="false" customWidth="true" hidden="false" outlineLevel="0" max="2305" min="2305" style="64" width="9.26"/>
    <col collapsed="false" customWidth="false" hidden="false" outlineLevel="0" max="2560" min="2306" style="64" width="9"/>
    <col collapsed="false" customWidth="true" hidden="false" outlineLevel="0" max="2561" min="2561" style="64" width="9.26"/>
    <col collapsed="false" customWidth="false" hidden="false" outlineLevel="0" max="2816" min="2562" style="64" width="9"/>
    <col collapsed="false" customWidth="true" hidden="false" outlineLevel="0" max="2817" min="2817" style="64" width="9.26"/>
    <col collapsed="false" customWidth="false" hidden="false" outlineLevel="0" max="3072" min="2818" style="64" width="9"/>
    <col collapsed="false" customWidth="true" hidden="false" outlineLevel="0" max="3073" min="3073" style="64" width="9.26"/>
    <col collapsed="false" customWidth="false" hidden="false" outlineLevel="0" max="3328" min="3074" style="64" width="9"/>
    <col collapsed="false" customWidth="true" hidden="false" outlineLevel="0" max="3329" min="3329" style="64" width="9.26"/>
    <col collapsed="false" customWidth="false" hidden="false" outlineLevel="0" max="3584" min="3330" style="64" width="9"/>
    <col collapsed="false" customWidth="true" hidden="false" outlineLevel="0" max="3585" min="3585" style="64" width="9.26"/>
    <col collapsed="false" customWidth="false" hidden="false" outlineLevel="0" max="3840" min="3586" style="64" width="9"/>
    <col collapsed="false" customWidth="true" hidden="false" outlineLevel="0" max="3841" min="3841" style="64" width="9.26"/>
    <col collapsed="false" customWidth="false" hidden="false" outlineLevel="0" max="4096" min="3842" style="64" width="9"/>
    <col collapsed="false" customWidth="true" hidden="false" outlineLevel="0" max="4097" min="4097" style="64" width="9.26"/>
    <col collapsed="false" customWidth="false" hidden="false" outlineLevel="0" max="4352" min="4098" style="64" width="9"/>
    <col collapsed="false" customWidth="true" hidden="false" outlineLevel="0" max="4353" min="4353" style="64" width="9.26"/>
    <col collapsed="false" customWidth="false" hidden="false" outlineLevel="0" max="4608" min="4354" style="64" width="9"/>
    <col collapsed="false" customWidth="true" hidden="false" outlineLevel="0" max="4609" min="4609" style="64" width="9.26"/>
    <col collapsed="false" customWidth="false" hidden="false" outlineLevel="0" max="4864" min="4610" style="64" width="9"/>
    <col collapsed="false" customWidth="true" hidden="false" outlineLevel="0" max="4865" min="4865" style="64" width="9.26"/>
    <col collapsed="false" customWidth="false" hidden="false" outlineLevel="0" max="5120" min="4866" style="64" width="9"/>
    <col collapsed="false" customWidth="true" hidden="false" outlineLevel="0" max="5121" min="5121" style="64" width="9.26"/>
    <col collapsed="false" customWidth="false" hidden="false" outlineLevel="0" max="5376" min="5122" style="64" width="9"/>
    <col collapsed="false" customWidth="true" hidden="false" outlineLevel="0" max="5377" min="5377" style="64" width="9.26"/>
    <col collapsed="false" customWidth="false" hidden="false" outlineLevel="0" max="5632" min="5378" style="64" width="9"/>
    <col collapsed="false" customWidth="true" hidden="false" outlineLevel="0" max="5633" min="5633" style="64" width="9.26"/>
    <col collapsed="false" customWidth="false" hidden="false" outlineLevel="0" max="5888" min="5634" style="64" width="9"/>
    <col collapsed="false" customWidth="true" hidden="false" outlineLevel="0" max="5889" min="5889" style="64" width="9.26"/>
    <col collapsed="false" customWidth="false" hidden="false" outlineLevel="0" max="6144" min="5890" style="64" width="9"/>
    <col collapsed="false" customWidth="true" hidden="false" outlineLevel="0" max="6145" min="6145" style="64" width="9.26"/>
    <col collapsed="false" customWidth="false" hidden="false" outlineLevel="0" max="6400" min="6146" style="64" width="9"/>
    <col collapsed="false" customWidth="true" hidden="false" outlineLevel="0" max="6401" min="6401" style="64" width="9.26"/>
    <col collapsed="false" customWidth="false" hidden="false" outlineLevel="0" max="6656" min="6402" style="64" width="9"/>
    <col collapsed="false" customWidth="true" hidden="false" outlineLevel="0" max="6657" min="6657" style="64" width="9.26"/>
    <col collapsed="false" customWidth="false" hidden="false" outlineLevel="0" max="6912" min="6658" style="64" width="9"/>
    <col collapsed="false" customWidth="true" hidden="false" outlineLevel="0" max="6913" min="6913" style="64" width="9.26"/>
    <col collapsed="false" customWidth="false" hidden="false" outlineLevel="0" max="7168" min="6914" style="64" width="9"/>
    <col collapsed="false" customWidth="true" hidden="false" outlineLevel="0" max="7169" min="7169" style="64" width="9.26"/>
    <col collapsed="false" customWidth="false" hidden="false" outlineLevel="0" max="7424" min="7170" style="64" width="9"/>
    <col collapsed="false" customWidth="true" hidden="false" outlineLevel="0" max="7425" min="7425" style="64" width="9.26"/>
    <col collapsed="false" customWidth="false" hidden="false" outlineLevel="0" max="7680" min="7426" style="64" width="9"/>
    <col collapsed="false" customWidth="true" hidden="false" outlineLevel="0" max="7681" min="7681" style="64" width="9.26"/>
    <col collapsed="false" customWidth="false" hidden="false" outlineLevel="0" max="7936" min="7682" style="64" width="9"/>
    <col collapsed="false" customWidth="true" hidden="false" outlineLevel="0" max="7937" min="7937" style="64" width="9.26"/>
    <col collapsed="false" customWidth="false" hidden="false" outlineLevel="0" max="8192" min="7938" style="64" width="9"/>
    <col collapsed="false" customWidth="true" hidden="false" outlineLevel="0" max="8193" min="8193" style="64" width="9.26"/>
    <col collapsed="false" customWidth="false" hidden="false" outlineLevel="0" max="8448" min="8194" style="64" width="9"/>
    <col collapsed="false" customWidth="true" hidden="false" outlineLevel="0" max="8449" min="8449" style="64" width="9.26"/>
    <col collapsed="false" customWidth="false" hidden="false" outlineLevel="0" max="8704" min="8450" style="64" width="9"/>
    <col collapsed="false" customWidth="true" hidden="false" outlineLevel="0" max="8705" min="8705" style="64" width="9.26"/>
    <col collapsed="false" customWidth="false" hidden="false" outlineLevel="0" max="8960" min="8706" style="64" width="9"/>
    <col collapsed="false" customWidth="true" hidden="false" outlineLevel="0" max="8961" min="8961" style="64" width="9.26"/>
    <col collapsed="false" customWidth="false" hidden="false" outlineLevel="0" max="9216" min="8962" style="64" width="9"/>
    <col collapsed="false" customWidth="true" hidden="false" outlineLevel="0" max="9217" min="9217" style="64" width="9.26"/>
    <col collapsed="false" customWidth="false" hidden="false" outlineLevel="0" max="9472" min="9218" style="64" width="9"/>
    <col collapsed="false" customWidth="true" hidden="false" outlineLevel="0" max="9473" min="9473" style="64" width="9.26"/>
    <col collapsed="false" customWidth="false" hidden="false" outlineLevel="0" max="9728" min="9474" style="64" width="9"/>
    <col collapsed="false" customWidth="true" hidden="false" outlineLevel="0" max="9729" min="9729" style="64" width="9.26"/>
    <col collapsed="false" customWidth="false" hidden="false" outlineLevel="0" max="9984" min="9730" style="64" width="9"/>
    <col collapsed="false" customWidth="true" hidden="false" outlineLevel="0" max="9985" min="9985" style="64" width="9.26"/>
    <col collapsed="false" customWidth="false" hidden="false" outlineLevel="0" max="10240" min="9986" style="64" width="9"/>
    <col collapsed="false" customWidth="true" hidden="false" outlineLevel="0" max="10241" min="10241" style="64" width="9.26"/>
    <col collapsed="false" customWidth="false" hidden="false" outlineLevel="0" max="10496" min="10242" style="64" width="9"/>
    <col collapsed="false" customWidth="true" hidden="false" outlineLevel="0" max="10497" min="10497" style="64" width="9.26"/>
    <col collapsed="false" customWidth="false" hidden="false" outlineLevel="0" max="10752" min="10498" style="64" width="9"/>
    <col collapsed="false" customWidth="true" hidden="false" outlineLevel="0" max="10753" min="10753" style="64" width="9.26"/>
    <col collapsed="false" customWidth="false" hidden="false" outlineLevel="0" max="11008" min="10754" style="64" width="9"/>
    <col collapsed="false" customWidth="true" hidden="false" outlineLevel="0" max="11009" min="11009" style="64" width="9.26"/>
    <col collapsed="false" customWidth="false" hidden="false" outlineLevel="0" max="11264" min="11010" style="64" width="9"/>
    <col collapsed="false" customWidth="true" hidden="false" outlineLevel="0" max="11265" min="11265" style="64" width="9.26"/>
    <col collapsed="false" customWidth="false" hidden="false" outlineLevel="0" max="11520" min="11266" style="64" width="9"/>
    <col collapsed="false" customWidth="true" hidden="false" outlineLevel="0" max="11521" min="11521" style="64" width="9.26"/>
    <col collapsed="false" customWidth="false" hidden="false" outlineLevel="0" max="11776" min="11522" style="64" width="9"/>
    <col collapsed="false" customWidth="true" hidden="false" outlineLevel="0" max="11777" min="11777" style="64" width="9.26"/>
    <col collapsed="false" customWidth="false" hidden="false" outlineLevel="0" max="12032" min="11778" style="64" width="9"/>
    <col collapsed="false" customWidth="true" hidden="false" outlineLevel="0" max="12033" min="12033" style="64" width="9.26"/>
    <col collapsed="false" customWidth="false" hidden="false" outlineLevel="0" max="12288" min="12034" style="64" width="9"/>
    <col collapsed="false" customWidth="true" hidden="false" outlineLevel="0" max="12289" min="12289" style="64" width="9.26"/>
    <col collapsed="false" customWidth="false" hidden="false" outlineLevel="0" max="12544" min="12290" style="64" width="9"/>
    <col collapsed="false" customWidth="true" hidden="false" outlineLevel="0" max="12545" min="12545" style="64" width="9.26"/>
    <col collapsed="false" customWidth="false" hidden="false" outlineLevel="0" max="12800" min="12546" style="64" width="9"/>
    <col collapsed="false" customWidth="true" hidden="false" outlineLevel="0" max="12801" min="12801" style="64" width="9.26"/>
    <col collapsed="false" customWidth="false" hidden="false" outlineLevel="0" max="13056" min="12802" style="64" width="9"/>
    <col collapsed="false" customWidth="true" hidden="false" outlineLevel="0" max="13057" min="13057" style="64" width="9.26"/>
    <col collapsed="false" customWidth="false" hidden="false" outlineLevel="0" max="13312" min="13058" style="64" width="9"/>
    <col collapsed="false" customWidth="true" hidden="false" outlineLevel="0" max="13313" min="13313" style="64" width="9.26"/>
    <col collapsed="false" customWidth="false" hidden="false" outlineLevel="0" max="13568" min="13314" style="64" width="9"/>
    <col collapsed="false" customWidth="true" hidden="false" outlineLevel="0" max="13569" min="13569" style="64" width="9.26"/>
    <col collapsed="false" customWidth="false" hidden="false" outlineLevel="0" max="13824" min="13570" style="64" width="9"/>
    <col collapsed="false" customWidth="true" hidden="false" outlineLevel="0" max="13825" min="13825" style="64" width="9.26"/>
    <col collapsed="false" customWidth="false" hidden="false" outlineLevel="0" max="14080" min="13826" style="64" width="9"/>
    <col collapsed="false" customWidth="true" hidden="false" outlineLevel="0" max="14081" min="14081" style="64" width="9.26"/>
    <col collapsed="false" customWidth="false" hidden="false" outlineLevel="0" max="14336" min="14082" style="64" width="9"/>
    <col collapsed="false" customWidth="true" hidden="false" outlineLevel="0" max="14337" min="14337" style="64" width="9.26"/>
    <col collapsed="false" customWidth="false" hidden="false" outlineLevel="0" max="14592" min="14338" style="64" width="9"/>
    <col collapsed="false" customWidth="true" hidden="false" outlineLevel="0" max="14593" min="14593" style="64" width="9.26"/>
    <col collapsed="false" customWidth="false" hidden="false" outlineLevel="0" max="14848" min="14594" style="64" width="9"/>
    <col collapsed="false" customWidth="true" hidden="false" outlineLevel="0" max="14849" min="14849" style="64" width="9.26"/>
    <col collapsed="false" customWidth="false" hidden="false" outlineLevel="0" max="15104" min="14850" style="64" width="9"/>
    <col collapsed="false" customWidth="true" hidden="false" outlineLevel="0" max="15105" min="15105" style="64" width="9.26"/>
    <col collapsed="false" customWidth="false" hidden="false" outlineLevel="0" max="15360" min="15106" style="64" width="9"/>
    <col collapsed="false" customWidth="true" hidden="false" outlineLevel="0" max="15361" min="15361" style="64" width="9.26"/>
    <col collapsed="false" customWidth="false" hidden="false" outlineLevel="0" max="15616" min="15362" style="64" width="9"/>
    <col collapsed="false" customWidth="true" hidden="false" outlineLevel="0" max="15617" min="15617" style="64" width="9.26"/>
    <col collapsed="false" customWidth="false" hidden="false" outlineLevel="0" max="15872" min="15618" style="64" width="9"/>
    <col collapsed="false" customWidth="true" hidden="false" outlineLevel="0" max="15873" min="15873" style="64" width="9.26"/>
    <col collapsed="false" customWidth="false" hidden="false" outlineLevel="0" max="16128" min="15874" style="64" width="9"/>
    <col collapsed="false" customWidth="true" hidden="false" outlineLevel="0" max="16129" min="16129" style="64" width="9.26"/>
    <col collapsed="false" customWidth="false" hidden="false" outlineLevel="0" max="16384" min="16130" style="64" width="9"/>
  </cols>
  <sheetData>
    <row r="14" customFormat="false" ht="12.75" hidden="false" customHeight="false" outlineLevel="0" collapsed="false">
      <c r="B14" s="64" t="s">
        <v>63</v>
      </c>
      <c r="C14" s="64" t="s">
        <v>64</v>
      </c>
      <c r="D14" s="64" t="s">
        <v>65</v>
      </c>
    </row>
    <row r="15" customFormat="false" ht="12.75" hidden="false" customHeight="false" outlineLevel="0" collapsed="false">
      <c r="A15" s="64" t="s">
        <v>66</v>
      </c>
      <c r="B15" s="64" t="n">
        <v>150</v>
      </c>
      <c r="C15" s="64" t="n">
        <v>100</v>
      </c>
      <c r="D15" s="64" t="n">
        <v>175</v>
      </c>
    </row>
    <row r="16" customFormat="false" ht="12.75" hidden="false" customHeight="false" outlineLevel="0" collapsed="false">
      <c r="A16" s="64" t="s">
        <v>67</v>
      </c>
      <c r="B16" s="64" t="n">
        <v>20</v>
      </c>
      <c r="C16" s="64" t="n">
        <v>10</v>
      </c>
      <c r="D16" s="64" t="n">
        <v>15</v>
      </c>
    </row>
    <row r="17" customFormat="false" ht="12.75" hidden="false" customHeight="false" outlineLevel="0" collapsed="false">
      <c r="A17" s="64" t="s">
        <v>68</v>
      </c>
      <c r="B17" s="64" t="n">
        <v>0</v>
      </c>
      <c r="C17" s="64" t="n">
        <v>25</v>
      </c>
      <c r="D17" s="64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2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2" sqref="B9 B9:C9 E26"/>
    </sheetView>
  </sheetViews>
  <sheetFormatPr defaultColWidth="8.59765625" defaultRowHeight="14.25" zeroHeight="false" outlineLevelRow="0" outlineLevelCol="0"/>
  <sheetData>
    <row r="22" customFormat="false" ht="14.25" hidden="false" customHeight="false" outlineLevel="0" collapsed="false">
      <c r="A22" s="0" t="s">
        <v>69</v>
      </c>
    </row>
    <row r="23" customFormat="false" ht="14.25" hidden="false" customHeight="false" outlineLevel="0" collapsed="false">
      <c r="A23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2" sqref="B9 B9:C9 L2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5"/>
  </cols>
  <sheetData>
    <row r="1" customFormat="false" ht="14.25" hidden="false" customHeight="false" outlineLevel="0" collapsed="false">
      <c r="A1" s="0" t="s">
        <v>71</v>
      </c>
    </row>
    <row r="2" customFormat="false" ht="14.25" hidden="false" customHeight="false" outlineLevel="0" collapsed="false">
      <c r="A2" s="0" t="s">
        <v>72</v>
      </c>
    </row>
    <row r="3" customFormat="false" ht="14.25" hidden="false" customHeight="false" outlineLevel="0" collapsed="false">
      <c r="A3" s="0" t="s">
        <v>73</v>
      </c>
    </row>
    <row r="4" customFormat="false" ht="14.25" hidden="false" customHeight="false" outlineLevel="0" collapsed="false">
      <c r="A4" s="0" t="s">
        <v>74</v>
      </c>
    </row>
    <row r="5" customFormat="false" ht="14.25" hidden="false" customHeight="false" outlineLevel="0" collapsed="false">
      <c r="A5" s="0" t="s">
        <v>69</v>
      </c>
      <c r="B5" s="0" t="s">
        <v>75</v>
      </c>
    </row>
    <row r="7" customFormat="false" ht="14.25" hidden="false" customHeight="false" outlineLevel="0" collapsed="false">
      <c r="A7" s="65"/>
      <c r="B7" s="66" t="s">
        <v>76</v>
      </c>
      <c r="C7" s="66" t="s">
        <v>77</v>
      </c>
      <c r="D7" s="66" t="s">
        <v>78</v>
      </c>
      <c r="E7" s="66" t="s">
        <v>79</v>
      </c>
      <c r="F7" s="66" t="s">
        <v>80</v>
      </c>
      <c r="G7" s="65" t="s">
        <v>81</v>
      </c>
    </row>
    <row r="8" customFormat="false" ht="14.25" hidden="false" customHeight="false" outlineLevel="0" collapsed="false">
      <c r="A8" s="67" t="s">
        <v>44</v>
      </c>
      <c r="B8" s="68" t="n">
        <v>25</v>
      </c>
      <c r="C8" s="69" t="n">
        <v>24</v>
      </c>
      <c r="D8" s="69" t="n">
        <v>28</v>
      </c>
      <c r="E8" s="69" t="n">
        <v>13</v>
      </c>
      <c r="F8" s="70" t="n">
        <v>18</v>
      </c>
      <c r="G8" s="71" t="n">
        <v>140</v>
      </c>
    </row>
    <row r="9" customFormat="false" ht="14.25" hidden="false" customHeight="false" outlineLevel="0" collapsed="false">
      <c r="A9" s="67" t="s">
        <v>45</v>
      </c>
      <c r="B9" s="72" t="n">
        <v>17</v>
      </c>
      <c r="C9" s="65" t="n">
        <v>30</v>
      </c>
      <c r="D9" s="65" t="n">
        <v>15</v>
      </c>
      <c r="E9" s="65" t="n">
        <v>26</v>
      </c>
      <c r="F9" s="73" t="n">
        <v>20</v>
      </c>
      <c r="G9" s="71" t="n">
        <v>100</v>
      </c>
    </row>
    <row r="10" customFormat="false" ht="14.25" hidden="false" customHeight="false" outlineLevel="0" collapsed="false">
      <c r="A10" s="67" t="s">
        <v>46</v>
      </c>
      <c r="B10" s="72" t="n">
        <v>14</v>
      </c>
      <c r="C10" s="65" t="n">
        <v>22</v>
      </c>
      <c r="D10" s="65" t="n">
        <v>25</v>
      </c>
      <c r="E10" s="65" t="n">
        <v>14</v>
      </c>
      <c r="F10" s="73" t="n">
        <v>15</v>
      </c>
      <c r="G10" s="71" t="n">
        <v>120</v>
      </c>
    </row>
    <row r="11" customFormat="false" ht="14.25" hidden="false" customHeight="false" outlineLevel="0" collapsed="false">
      <c r="A11" s="67" t="s">
        <v>47</v>
      </c>
      <c r="B11" s="74" t="n">
        <v>11</v>
      </c>
      <c r="C11" s="75" t="n">
        <v>17</v>
      </c>
      <c r="D11" s="75" t="n">
        <v>21</v>
      </c>
      <c r="E11" s="75" t="n">
        <v>16</v>
      </c>
      <c r="F11" s="76" t="n">
        <v>14</v>
      </c>
      <c r="G11" s="71" t="n">
        <v>80</v>
      </c>
    </row>
    <row r="12" customFormat="false" ht="14.25" hidden="false" customHeight="false" outlineLevel="0" collapsed="false">
      <c r="A12" s="65" t="s">
        <v>82</v>
      </c>
      <c r="B12" s="77" t="n">
        <v>80</v>
      </c>
      <c r="C12" s="77" t="n">
        <v>120</v>
      </c>
      <c r="D12" s="77" t="n">
        <v>70</v>
      </c>
      <c r="E12" s="77" t="n">
        <v>60</v>
      </c>
      <c r="F12" s="77" t="n">
        <v>100</v>
      </c>
      <c r="G12" s="65"/>
    </row>
    <row r="19" customFormat="false" ht="14.25" hidden="false" customHeight="false" outlineLevel="0" collapsed="false">
      <c r="A19" s="0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2009-12-09T15:57:50Z</dcterms:created>
  <dc:creator>BOZENA</dc:creator>
  <dc:description/>
  <dc:language>en-US</dc:language>
  <cp:lastModifiedBy/>
  <dcterms:modified xsi:type="dcterms:W3CDTF">2026-05-05T21:43:19Z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