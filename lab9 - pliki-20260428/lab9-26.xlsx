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drawings/drawing2.xml" ContentType="application/vnd.openxmlformats-officedocument.drawing+xml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zena\Desktop\zajęcia-zima26\MMS26\lab5NS\"/>
    </mc:Choice>
  </mc:AlternateContent>
  <xr:revisionPtr revIDLastSave="0" documentId="13_ncr:1_{9C16F228-0096-4993-8135-BFCEBC7DDAB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zykład 1 dobór zmiennych" sheetId="10" r:id="rId1"/>
    <sheet name="przykład2" sheetId="13" r:id="rId2"/>
    <sheet name="przykład3" sheetId="14" r:id="rId3"/>
    <sheet name="Zadanie 1" sheetId="11" r:id="rId4"/>
    <sheet name="Zadanie 2" sheetId="1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3" i="10" l="1"/>
  <c r="D33" i="10"/>
  <c r="E33" i="10"/>
  <c r="C36" i="10"/>
  <c r="D36" i="10"/>
  <c r="E36" i="10"/>
  <c r="C37" i="10"/>
  <c r="D37" i="10"/>
  <c r="E37" i="10"/>
  <c r="C38" i="10"/>
  <c r="D38" i="10"/>
  <c r="E38" i="10"/>
  <c r="D50" i="10"/>
  <c r="B51" i="10" s="1"/>
  <c r="B52" i="10" s="1"/>
  <c r="C53" i="10" s="1"/>
  <c r="E60" i="10"/>
  <c r="C82" i="10"/>
  <c r="D90" i="10"/>
  <c r="D89" i="10"/>
  <c r="C90" i="10"/>
  <c r="C89" i="10"/>
  <c r="C80" i="10"/>
  <c r="C81" i="10" l="1"/>
  <c r="C83" i="10" s="1"/>
  <c r="D21" i="14"/>
  <c r="P26" i="14"/>
  <c r="O26" i="14"/>
  <c r="Q26" i="14"/>
  <c r="Q25" i="14"/>
  <c r="Q24" i="14"/>
  <c r="O25" i="14"/>
  <c r="P24" i="14"/>
  <c r="K25" i="14"/>
  <c r="K26" i="14"/>
  <c r="M24" i="14"/>
  <c r="L24" i="14"/>
  <c r="G26" i="14"/>
  <c r="H26" i="14"/>
  <c r="I26" i="14"/>
  <c r="I25" i="14"/>
  <c r="I24" i="14"/>
  <c r="D24" i="14" s="1"/>
  <c r="O22" i="14"/>
  <c r="P22" i="14"/>
  <c r="Q22" i="14"/>
  <c r="Q21" i="14"/>
  <c r="Q20" i="14"/>
  <c r="K22" i="14"/>
  <c r="L22" i="14"/>
  <c r="M22" i="14"/>
  <c r="M21" i="14"/>
  <c r="M20" i="14"/>
  <c r="H18" i="14"/>
  <c r="D49" i="13"/>
  <c r="E49" i="13"/>
  <c r="D19" i="13"/>
  <c r="D39" i="13" s="1"/>
  <c r="D40" i="13" s="1"/>
  <c r="E19" i="13"/>
  <c r="F19" i="13"/>
  <c r="F39" i="13" s="1"/>
  <c r="F40" i="13" s="1"/>
  <c r="G19" i="13"/>
  <c r="H19" i="13"/>
  <c r="I19" i="13"/>
  <c r="I39" i="13" s="1"/>
  <c r="I40" i="13" s="1"/>
  <c r="D20" i="13"/>
  <c r="E20" i="13"/>
  <c r="F20" i="13"/>
  <c r="G20" i="13"/>
  <c r="H20" i="13"/>
  <c r="I20" i="13"/>
  <c r="D21" i="13"/>
  <c r="E21" i="13"/>
  <c r="F21" i="13"/>
  <c r="G21" i="13"/>
  <c r="H21" i="13"/>
  <c r="I21" i="13"/>
  <c r="D22" i="13"/>
  <c r="E22" i="13"/>
  <c r="F22" i="13"/>
  <c r="G22" i="13"/>
  <c r="H22" i="13"/>
  <c r="I22" i="13"/>
  <c r="D23" i="13"/>
  <c r="D52" i="13" s="1"/>
  <c r="E23" i="13"/>
  <c r="F23" i="13"/>
  <c r="G23" i="13"/>
  <c r="H23" i="13"/>
  <c r="I23" i="13"/>
  <c r="E18" i="13"/>
  <c r="F18" i="13"/>
  <c r="G18" i="13"/>
  <c r="H18" i="13"/>
  <c r="I18" i="13"/>
  <c r="E51" i="13" s="1"/>
  <c r="D18" i="13"/>
  <c r="E28" i="13"/>
  <c r="E29" i="13" s="1"/>
  <c r="F28" i="13"/>
  <c r="F29" i="13" s="1"/>
  <c r="G28" i="13"/>
  <c r="G29" i="13" s="1"/>
  <c r="H28" i="13"/>
  <c r="H29" i="13" s="1"/>
  <c r="I28" i="13"/>
  <c r="I29" i="13" s="1"/>
  <c r="D28" i="13"/>
  <c r="D29" i="13" s="1"/>
  <c r="C26" i="10"/>
  <c r="D26" i="10"/>
  <c r="E26" i="10"/>
  <c r="C27" i="10"/>
  <c r="D27" i="10"/>
  <c r="E27" i="10"/>
  <c r="B27" i="10"/>
  <c r="B26" i="10"/>
  <c r="F49" i="13" l="1"/>
  <c r="D58" i="13"/>
  <c r="D59" i="13" s="1"/>
  <c r="D23" i="14"/>
  <c r="D25" i="14"/>
  <c r="D42" i="14" s="1"/>
  <c r="D26" i="14"/>
  <c r="D22" i="14"/>
  <c r="D28" i="10"/>
  <c r="J28" i="13"/>
  <c r="B28" i="10"/>
  <c r="E28" i="10"/>
  <c r="C28" i="10"/>
</calcChain>
</file>

<file path=xl/sharedStrings.xml><?xml version="1.0" encoding="utf-8"?>
<sst xmlns="http://schemas.openxmlformats.org/spreadsheetml/2006/main" count="169" uniqueCount="136">
  <si>
    <t>Jednostki naukowe i bad-rozw</t>
  </si>
  <si>
    <t>Nakłady na działalność naukową i badawczą (w mln zł)</t>
  </si>
  <si>
    <t>Ilość zgłoszonych wynalazków</t>
  </si>
  <si>
    <t>Rok</t>
  </si>
  <si>
    <t>zmienność</t>
  </si>
  <si>
    <t>srednia</t>
  </si>
  <si>
    <t>odchylenie</t>
  </si>
  <si>
    <t>R</t>
  </si>
  <si>
    <t>R0</t>
  </si>
  <si>
    <t>alfa</t>
  </si>
  <si>
    <t>st.swob</t>
  </si>
  <si>
    <t>t</t>
  </si>
  <si>
    <t>wart. Krytyczna r*</t>
  </si>
  <si>
    <t xml:space="preserve">usuwamy zmienne, dla których w R0 zachodzi </t>
  </si>
  <si>
    <t>w tym zadaniu zostają wszystkie</t>
  </si>
  <si>
    <t xml:space="preserve">wybieramy zmienną, </t>
  </si>
  <si>
    <t xml:space="preserve">czyli </t>
  </si>
  <si>
    <t xml:space="preserve">eliminujemy zmienne, dla których </t>
  </si>
  <si>
    <t>czyli porównujemy wartości z trzeciej kolumny z r*</t>
  </si>
  <si>
    <t>nic nie możemy odrzucić</t>
  </si>
  <si>
    <t>Do opisu bierzemy X1 oraz X3</t>
  </si>
  <si>
    <t>k=2</t>
  </si>
  <si>
    <t>kombinacje</t>
  </si>
  <si>
    <t>X1,X2</t>
  </si>
  <si>
    <t>X1,X3</t>
  </si>
  <si>
    <t>X2,X3</t>
  </si>
  <si>
    <t>można wyrzucić x1 i x2</t>
  </si>
  <si>
    <t>n=</t>
  </si>
  <si>
    <t>1.ELIMINACJA QUASI-STAŁYCH - usuwamy "jednostki naukowe" ( x2)</t>
  </si>
  <si>
    <t>3. Metoda Pawłowskiego</t>
  </si>
  <si>
    <t>Wybrać optymalny zbiór zmiennych objaśniających dla poniższych danych.</t>
  </si>
  <si>
    <t>|R|</t>
  </si>
  <si>
    <t>2. eliminacja słabo skorelowanych</t>
  </si>
  <si>
    <t>max</t>
  </si>
  <si>
    <t>3. Wybieramy zmienną do modelu</t>
  </si>
  <si>
    <t>4. eliminujemy zmienne skorelowane z xh</t>
  </si>
  <si>
    <t xml:space="preserve">r2i </t>
  </si>
  <si>
    <t>x1</t>
  </si>
  <si>
    <t>x2</t>
  </si>
  <si>
    <t>x3</t>
  </si>
  <si>
    <t>x4</t>
  </si>
  <si>
    <t>x5</t>
  </si>
  <si>
    <t>x6</t>
  </si>
  <si>
    <t>7. wykonujemy krok 4.</t>
  </si>
  <si>
    <t>8. Podsumowanie tego etapu:</t>
  </si>
  <si>
    <t>9. koniec</t>
  </si>
  <si>
    <t>Metoda Pawłowskiego</t>
  </si>
  <si>
    <t>k=3</t>
  </si>
  <si>
    <t>1. ustalamy wszystkie kombinacje po 3 zmienne</t>
  </si>
  <si>
    <t>nr kombinacji</t>
  </si>
  <si>
    <t>zmienne</t>
  </si>
  <si>
    <t>Będzie ich  6 nad 3</t>
  </si>
  <si>
    <t>x1,x2,x3</t>
  </si>
  <si>
    <t>x1,x2,x4</t>
  </si>
  <si>
    <t>x1,x2,x5</t>
  </si>
  <si>
    <t>x1,x2,x6</t>
  </si>
  <si>
    <t>x1,x3,x4</t>
  </si>
  <si>
    <t>x1,x3,x5</t>
  </si>
  <si>
    <t>x1,x3,x6</t>
  </si>
  <si>
    <t>x1,x4,x5</t>
  </si>
  <si>
    <t>x1,x4,x6</t>
  </si>
  <si>
    <t>x1,x5,x6</t>
  </si>
  <si>
    <t>x2,x3,x4</t>
  </si>
  <si>
    <t>x2,x3,x5</t>
  </si>
  <si>
    <t>x2,x3,x6</t>
  </si>
  <si>
    <t>x2,x4,x5</t>
  </si>
  <si>
    <t>x2,x4,x6</t>
  </si>
  <si>
    <t>x2,x5,x6</t>
  </si>
  <si>
    <t>x3,x4,x5</t>
  </si>
  <si>
    <t>x3,x4,x6</t>
  </si>
  <si>
    <t>x4,x5,x6</t>
  </si>
  <si>
    <t>x3,x5,x6</t>
  </si>
  <si>
    <t>wyznacznik</t>
  </si>
  <si>
    <t>kombin1</t>
  </si>
  <si>
    <t>kombin2</t>
  </si>
  <si>
    <t>kombin3</t>
  </si>
  <si>
    <t>kombin4</t>
  </si>
  <si>
    <t>kombin5</t>
  </si>
  <si>
    <t>kombin6</t>
  </si>
  <si>
    <t xml:space="preserve">5. Posumowanie tego etapu:  </t>
  </si>
  <si>
    <t>x2 bierzemy do modelu</t>
  </si>
  <si>
    <t xml:space="preserve">2b. Przykład 2 Wyznaczamy wartośc krytyczną wspłczynnika korelacji z rozkładu t-Studenta . </t>
  </si>
  <si>
    <t>2a. Przykład 1 Wybieramy arbitrarnie wartośc krytyczną wspłczynnika korelacji . Np. r*=0,4</t>
  </si>
  <si>
    <t>&lt; 0,5</t>
  </si>
  <si>
    <t>Dalej trzeba liczyc podobnie, aż wyliczymy wyznaczniki dla wszystkich kombinacji.  Kombinacja o największym wyznaczniku co do wartości bezwzględnej  ma być wybrana do modelu.</t>
  </si>
  <si>
    <t>Dane są wektor korealacji R0 oraz macierz korelacji R. Dobrać najlepszy zestaw danych stosując analizę współczynników korelacji</t>
  </si>
  <si>
    <t>Liczba pracowników w dziale badawczym i rozwojowym</t>
  </si>
  <si>
    <t>do modelu bierzemy x3</t>
  </si>
  <si>
    <t xml:space="preserve">max = </t>
  </si>
  <si>
    <t>mniej niż r*</t>
  </si>
  <si>
    <r>
      <t>t</t>
    </r>
    <r>
      <rPr>
        <sz val="10"/>
        <rFont val="Calibri"/>
        <family val="2"/>
        <charset val="238"/>
        <scheme val="minor"/>
      </rPr>
      <t>ego nie porównujemy, bo to wybrana zmienna xh</t>
    </r>
  </si>
  <si>
    <t>zatem do modelu bierzemy x1,x2,x3</t>
  </si>
  <si>
    <t>nie ma sensu powtarzać tej procedury, bo wszystkie wartości w R (z wyjątkiem przekątnej) są &lt; r*</t>
  </si>
  <si>
    <t>X1, X2</t>
  </si>
  <si>
    <t>X1, X3</t>
  </si>
  <si>
    <t>bo ma największą wartośc wyznacznika</t>
  </si>
  <si>
    <t>czyli  xh= x2, bo  r2= max</t>
  </si>
  <si>
    <t xml:space="preserve">1. bierzemy |R|, czyli każdy wyraz macierzy R bierzemy z plusem </t>
  </si>
  <si>
    <t>X2, X3</t>
  </si>
  <si>
    <t>6. Powtarzamy od kroku 3 dla zmiennych  x1, x6</t>
  </si>
  <si>
    <t>wybieramy do modelu x6, bo ma maksymalną wartośc współczynnka korelacji w wektorze korelacji</t>
  </si>
  <si>
    <t>bierzemy do modelu x6, x1</t>
  </si>
  <si>
    <t>Ostatecznie bierzemy do modelu x1, x2, x6</t>
  </si>
  <si>
    <t>Y</t>
  </si>
  <si>
    <t>X1</t>
  </si>
  <si>
    <t>X2</t>
  </si>
  <si>
    <t>X3</t>
  </si>
  <si>
    <t>wybrane_zmienne = [ X3 ]</t>
  </si>
  <si>
    <t>Xh="liczba pracowników" (X3)</t>
  </si>
  <si>
    <t>wybrane_zmienne = [ X3, X1, X2 ]</t>
  </si>
  <si>
    <t>wybrane_zmienne = [X1,  X3 ]</t>
  </si>
  <si>
    <t>Przyjąć, że wartość krytyczna współczynnika korelacji wynosi 0,5.</t>
  </si>
  <si>
    <t>wybrane_zmienne = [ X2 ]</t>
  </si>
  <si>
    <t>Aby sprawdzić poprawność uruchom kod Pythona dla tych danych</t>
  </si>
  <si>
    <t>Y oznacza wartość mieszkania [w tys. zł]</t>
  </si>
  <si>
    <t>X1 - metraż mieszkania</t>
  </si>
  <si>
    <t>X2 - piętro</t>
  </si>
  <si>
    <t>X3 – roczne dochody kupującego [w tys. zł]</t>
  </si>
  <si>
    <t>X4   – odległość od centrum usługowego/sklepu itp. [w m]</t>
  </si>
  <si>
    <t>2. Wyelimnować nadmiarowe zmienne metodą analizy współczynników korelacji, przyjmując alfa = 0,05</t>
  </si>
  <si>
    <t>3. Wyznaczyć model korelacji wielorakiej dla zmiennych, które zostały po eliminacji z pkt1 i 2</t>
  </si>
  <si>
    <t>5. Wyznaczyć model korelacji wielorakiej dla zmiennych, które zostały po eliminacji z pkt1 i 4</t>
  </si>
  <si>
    <t>6. Ocenić modele uzyskane w pkt 3 i 5. Dokonac ich porównania.</t>
  </si>
  <si>
    <t>7. Podsumowac wyniki opisem słownym</t>
  </si>
  <si>
    <t>Zadanie 1.</t>
  </si>
  <si>
    <t>Zadanie 2</t>
  </si>
  <si>
    <t>1. Wyeliminować quasi-zmienne przyjmując v* = 0,05</t>
  </si>
  <si>
    <t xml:space="preserve">2. Macierz i wektor korelacji </t>
  </si>
  <si>
    <t>1.  Analiza współczynników korelacji. Przyjąć alfa=0,01,  n=18. Pamiętać, że kierunek korelacji nie ma znaczenia, więc pomijamy wszystkie minusy w R0 i R</t>
  </si>
  <si>
    <t>wybrane_zmienne = [ X1, X3 ]</t>
  </si>
  <si>
    <t>r* =</t>
  </si>
  <si>
    <t>4. Wyeliminować zmienne (pozostałe po wykonaniu pkt1.)  metodą Pawłowskiego, przyjmując k=2</t>
  </si>
  <si>
    <t>X5 - zmienna temporalna oznaczająca kolejne lata obserwcji</t>
  </si>
  <si>
    <t>2. Metoda Pawłowskiego. Przyjać k=3. Nie zmieniamy znaków w macierzy korelacji</t>
  </si>
  <si>
    <t>X4</t>
  </si>
  <si>
    <t>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</si>
</sst>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zcionka tekstu podstawowego"/>
      <family val="2"/>
      <charset val="238"/>
    </font>
    <font>
      <sz val="10"/>
      <name val="Arial CE"/>
      <charset val="238"/>
    </font>
    <font>
      <sz val="10"/>
      <name val="Arial"/>
      <family val="2"/>
      <charset val="238"/>
    </font>
    <font>
      <i/>
      <sz val="10"/>
      <name val="Arial CE"/>
      <charset val="238"/>
    </font>
    <font>
      <sz val="11"/>
      <color theme="1"/>
      <name val="Czcionka tekstu podstawowego"/>
      <family val="2"/>
      <charset val="238"/>
    </font>
    <font>
      <sz val="10"/>
      <color theme="0" tint="-4.9989318521683403E-2"/>
      <name val="Arial CE"/>
      <charset val="238"/>
    </font>
    <font>
      <sz val="10"/>
      <color rgb="FFFF0000"/>
      <name val="Arial CE"/>
      <charset val="238"/>
    </font>
    <font>
      <b/>
      <sz val="10"/>
      <name val="Arial CE"/>
      <charset val="238"/>
    </font>
    <font>
      <b/>
      <sz val="10"/>
      <color theme="0" tint="-4.9989318521683403E-2"/>
      <name val="Arial CE"/>
      <charset val="238"/>
    </font>
    <font>
      <sz val="11"/>
      <color theme="3" tint="0.39997558519241921"/>
      <name val="Czcionka tekstu podstawowego"/>
      <family val="2"/>
      <charset val="238"/>
    </font>
    <font>
      <b/>
      <sz val="10"/>
      <color rgb="FFFF0000"/>
      <name val="Arial CE"/>
      <charset val="238"/>
    </font>
    <font>
      <b/>
      <sz val="10"/>
      <color rgb="FF00B050"/>
      <name val="Arial CE"/>
      <charset val="238"/>
    </font>
    <font>
      <b/>
      <sz val="11"/>
      <color rgb="FFFF0000"/>
      <name val="Czcionka tekstu podstawowego"/>
      <charset val="238"/>
    </font>
    <font>
      <b/>
      <sz val="11"/>
      <color theme="1"/>
      <name val="Czcionka tekstu podstawowego"/>
      <charset val="238"/>
    </font>
    <font>
      <sz val="11"/>
      <color rgb="FFFF0000"/>
      <name val="Czcionka tekstu podstawowego"/>
      <family val="2"/>
      <charset val="238"/>
    </font>
    <font>
      <sz val="10"/>
      <name val="Calibri"/>
      <family val="2"/>
      <charset val="238"/>
      <scheme val="minor"/>
    </font>
    <font>
      <sz val="8"/>
      <name val="Czcionka tekstu podstawowego"/>
      <family val="2"/>
      <charset val="238"/>
    </font>
    <font>
      <sz val="11"/>
      <color theme="1"/>
      <name val="Arial"/>
      <family val="2"/>
      <charset val="238"/>
    </font>
    <font>
      <sz val="11"/>
      <color rgb="FF00B050"/>
      <name val="Czcionka tekstu podstawowego"/>
      <family val="2"/>
      <charset val="238"/>
    </font>
    <font>
      <sz val="11"/>
      <color rgb="FF00B0F0"/>
      <name val="Czcionka tekstu podstawowego"/>
      <family val="2"/>
      <charset val="238"/>
    </font>
    <font>
      <sz val="11"/>
      <name val="Czcionka tekstu podstawowego"/>
      <family val="2"/>
      <charset val="238"/>
    </font>
    <font>
      <sz val="11"/>
      <color theme="1"/>
      <name val="Segoe U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9" fontId="4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9" fontId="1" fillId="3" borderId="0" xfId="3" applyFont="1" applyFill="1"/>
    <xf numFmtId="0" fontId="5" fillId="3" borderId="0" xfId="1" applyFont="1" applyFill="1"/>
    <xf numFmtId="0" fontId="1" fillId="3" borderId="0" xfId="1" applyFill="1"/>
    <xf numFmtId="9" fontId="6" fillId="2" borderId="0" xfId="3" applyFont="1" applyFill="1"/>
    <xf numFmtId="0" fontId="3" fillId="3" borderId="0" xfId="1" applyFont="1" applyFill="1"/>
    <xf numFmtId="0" fontId="1" fillId="3" borderId="0" xfId="1" applyFill="1" applyAlignment="1">
      <alignment horizontal="right"/>
    </xf>
    <xf numFmtId="0" fontId="1" fillId="3" borderId="0" xfId="1" applyFill="1" applyAlignment="1">
      <alignment horizontal="left"/>
    </xf>
    <xf numFmtId="0" fontId="1" fillId="2" borderId="0" xfId="1" applyFill="1"/>
    <xf numFmtId="0" fontId="5" fillId="2" borderId="0" xfId="1" applyFont="1" applyFill="1"/>
    <xf numFmtId="0" fontId="7" fillId="2" borderId="0" xfId="1" applyFont="1" applyFill="1"/>
    <xf numFmtId="0" fontId="8" fillId="2" borderId="0" xfId="1" applyFont="1" applyFill="1"/>
    <xf numFmtId="0" fontId="9" fillId="0" borderId="0" xfId="0" applyFont="1"/>
    <xf numFmtId="0" fontId="10" fillId="3" borderId="0" xfId="1" applyFont="1" applyFill="1"/>
    <xf numFmtId="0" fontId="1" fillId="3" borderId="1" xfId="1" applyFill="1" applyBorder="1"/>
    <xf numFmtId="0" fontId="1" fillId="3" borderId="1" xfId="1" applyFill="1" applyBorder="1" applyAlignment="1">
      <alignment horizontal="center" vertical="center"/>
    </xf>
    <xf numFmtId="0" fontId="11" fillId="3" borderId="0" xfId="1" applyFont="1" applyFill="1"/>
    <xf numFmtId="0" fontId="12" fillId="0" borderId="0" xfId="0" applyFont="1"/>
    <xf numFmtId="0" fontId="0" fillId="0" borderId="0" xfId="0" applyAlignment="1">
      <alignment horizontal="center" vertical="center"/>
    </xf>
    <xf numFmtId="0" fontId="7" fillId="5" borderId="0" xfId="1" applyFont="1" applyFill="1"/>
    <xf numFmtId="0" fontId="8" fillId="5" borderId="0" xfId="1" applyFont="1" applyFill="1"/>
    <xf numFmtId="0" fontId="0" fillId="0" borderId="1" xfId="0" applyBorder="1" applyAlignment="1">
      <alignment horizontal="center"/>
    </xf>
    <xf numFmtId="0" fontId="13" fillId="0" borderId="0" xfId="0" applyFont="1"/>
    <xf numFmtId="0" fontId="7" fillId="4" borderId="0" xfId="1" applyFont="1" applyFill="1"/>
    <xf numFmtId="0" fontId="8" fillId="4" borderId="0" xfId="1" applyFont="1" applyFill="1"/>
    <xf numFmtId="0" fontId="8" fillId="3" borderId="0" xfId="1" applyFont="1" applyFill="1"/>
    <xf numFmtId="0" fontId="0" fillId="0" borderId="0" xfId="0" applyAlignment="1">
      <alignment horizontal="right"/>
    </xf>
    <xf numFmtId="0" fontId="14" fillId="0" borderId="0" xfId="0" applyFont="1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6" fillId="3" borderId="0" xfId="1" applyFont="1" applyFill="1"/>
    <xf numFmtId="0" fontId="1" fillId="2" borderId="1" xfId="1" applyFill="1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0" fillId="0" borderId="0" xfId="1" applyFont="1" applyAlignment="1">
      <alignment horizontal="center"/>
    </xf>
    <xf numFmtId="0" fontId="7" fillId="3" borderId="0" xfId="1" applyFont="1" applyFill="1"/>
    <xf numFmtId="0" fontId="17" fillId="0" borderId="0" xfId="0" applyFont="1" applyAlignment="1">
      <alignment vertical="center" wrapText="1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9" fillId="0" borderId="6" xfId="0" applyFont="1" applyBorder="1"/>
    <xf numFmtId="0" fontId="19" fillId="0" borderId="8" xfId="0" applyFont="1" applyBorder="1"/>
    <xf numFmtId="0" fontId="19" fillId="0" borderId="9" xfId="0" applyFont="1" applyBorder="1"/>
    <xf numFmtId="0" fontId="18" fillId="0" borderId="3" xfId="0" applyFont="1" applyBorder="1"/>
    <xf numFmtId="0" fontId="18" fillId="0" borderId="4" xfId="0" applyFont="1" applyBorder="1"/>
    <xf numFmtId="0" fontId="20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21" fillId="0" borderId="1" xfId="0" applyFont="1" applyBorder="1" applyAlignment="1">
      <alignment horizontal="center" vertical="center" wrapText="1"/>
    </xf>
  </cellXfs>
  <cellStyles count="4">
    <cellStyle name="Normalny" xfId="0" builtinId="0"/>
    <cellStyle name="Normalny 2" xfId="1" xr:uid="{00000000-0005-0000-0000-000001000000}"/>
    <cellStyle name="Normalny 3" xfId="2" xr:uid="{00000000-0005-0000-0000-000002000000}"/>
    <cellStyle name="Procentowy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2</xdr:row>
      <xdr:rowOff>104775</xdr:rowOff>
    </xdr:from>
    <xdr:to>
      <xdr:col>14</xdr:col>
      <xdr:colOff>193729</xdr:colOff>
      <xdr:row>8</xdr:row>
      <xdr:rowOff>19050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378271" y="1073419"/>
          <a:ext cx="6769208" cy="88291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l-PL" sz="1000" b="0" i="0" strike="noStrike">
              <a:solidFill>
                <a:srgbClr val="000000"/>
              </a:solidFill>
              <a:latin typeface="Arial CE"/>
            </a:rPr>
            <a:t>Załóżmy, że ilość zgłaszanych wynalazków zależy liniowo od nakładów na działalność naukową i badawczą, od ilości jednostek naukowych i badawczo-rozwojowych oraz od ilości osób zatrudnionych w działach B-R </a:t>
          </a:r>
        </a:p>
        <a:p>
          <a:pPr algn="l" rtl="1">
            <a:defRPr sz="1000"/>
          </a:pPr>
          <a:r>
            <a:rPr lang="pl-PL" sz="1000" b="0" i="0" strike="noStrike">
              <a:solidFill>
                <a:srgbClr val="000000"/>
              </a:solidFill>
              <a:latin typeface="Arial CE"/>
            </a:rPr>
            <a:t>Czy można</a:t>
          </a:r>
          <a:r>
            <a:rPr lang="pl-PL" sz="1000" b="0" i="0" strike="noStrike" baseline="0">
              <a:solidFill>
                <a:srgbClr val="000000"/>
              </a:solidFill>
              <a:latin typeface="Arial CE"/>
            </a:rPr>
            <a:t> zmniejszyć liczbę zmiennych objaśniających bez straty jakości modelu?</a:t>
          </a:r>
          <a:endParaRPr lang="pl-PL" sz="1000" b="0" i="0" strike="noStrike">
            <a:solidFill>
              <a:srgbClr val="000000"/>
            </a:solidFill>
            <a:latin typeface="Arial CE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676275</xdr:colOff>
          <xdr:row>49</xdr:row>
          <xdr:rowOff>123825</xdr:rowOff>
        </xdr:from>
        <xdr:to>
          <xdr:col>5</xdr:col>
          <xdr:colOff>295275</xdr:colOff>
          <xdr:row>52</xdr:row>
          <xdr:rowOff>57150</xdr:rowOff>
        </xdr:to>
        <xdr:sp macro="" textlink="">
          <xdr:nvSpPr>
            <xdr:cNvPr id="6147" name="Object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0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438150</xdr:colOff>
          <xdr:row>53</xdr:row>
          <xdr:rowOff>85725</xdr:rowOff>
        </xdr:from>
        <xdr:to>
          <xdr:col>4</xdr:col>
          <xdr:colOff>523875</xdr:colOff>
          <xdr:row>55</xdr:row>
          <xdr:rowOff>57150</xdr:rowOff>
        </xdr:to>
        <xdr:sp macro="" textlink="">
          <xdr:nvSpPr>
            <xdr:cNvPr id="6148" name="Object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0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58</xdr:row>
          <xdr:rowOff>104775</xdr:rowOff>
        </xdr:from>
        <xdr:to>
          <xdr:col>3</xdr:col>
          <xdr:colOff>123825</xdr:colOff>
          <xdr:row>60</xdr:row>
          <xdr:rowOff>104775</xdr:rowOff>
        </xdr:to>
        <xdr:sp macro="" textlink="">
          <xdr:nvSpPr>
            <xdr:cNvPr id="6149" name="Object 2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0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85725</xdr:colOff>
          <xdr:row>62</xdr:row>
          <xdr:rowOff>38100</xdr:rowOff>
        </xdr:from>
        <xdr:to>
          <xdr:col>4</xdr:col>
          <xdr:colOff>161925</xdr:colOff>
          <xdr:row>64</xdr:row>
          <xdr:rowOff>66675</xdr:rowOff>
        </xdr:to>
        <xdr:sp macro="" textlink="">
          <xdr:nvSpPr>
            <xdr:cNvPr id="6151" name="Object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0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</xdr:colOff>
          <xdr:row>74</xdr:row>
          <xdr:rowOff>0</xdr:rowOff>
        </xdr:from>
        <xdr:to>
          <xdr:col>4</xdr:col>
          <xdr:colOff>638175</xdr:colOff>
          <xdr:row>74</xdr:row>
          <xdr:rowOff>0</xdr:rowOff>
        </xdr:to>
        <xdr:sp macro="" textlink="">
          <xdr:nvSpPr>
            <xdr:cNvPr id="6153" name="Object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0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247650</xdr:colOff>
          <xdr:row>95</xdr:row>
          <xdr:rowOff>0</xdr:rowOff>
        </xdr:from>
        <xdr:to>
          <xdr:col>8</xdr:col>
          <xdr:colOff>57150</xdr:colOff>
          <xdr:row>95</xdr:row>
          <xdr:rowOff>0</xdr:rowOff>
        </xdr:to>
        <xdr:sp macro="" textlink="">
          <xdr:nvSpPr>
            <xdr:cNvPr id="6158" name="Object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0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74</xdr:row>
          <xdr:rowOff>0</xdr:rowOff>
        </xdr:from>
        <xdr:to>
          <xdr:col>3</xdr:col>
          <xdr:colOff>228600</xdr:colOff>
          <xdr:row>74</xdr:row>
          <xdr:rowOff>0</xdr:rowOff>
        </xdr:to>
        <xdr:sp macro="" textlink="">
          <xdr:nvSpPr>
            <xdr:cNvPr id="6165" name="Object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0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85725</xdr:colOff>
          <xdr:row>74</xdr:row>
          <xdr:rowOff>0</xdr:rowOff>
        </xdr:from>
        <xdr:to>
          <xdr:col>4</xdr:col>
          <xdr:colOff>161925</xdr:colOff>
          <xdr:row>74</xdr:row>
          <xdr:rowOff>0</xdr:rowOff>
        </xdr:to>
        <xdr:sp macro="" textlink="">
          <xdr:nvSpPr>
            <xdr:cNvPr id="6166" name="Object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0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257175</xdr:colOff>
          <xdr:row>24</xdr:row>
          <xdr:rowOff>114300</xdr:rowOff>
        </xdr:from>
        <xdr:to>
          <xdr:col>6</xdr:col>
          <xdr:colOff>180975</xdr:colOff>
          <xdr:row>26</xdr:row>
          <xdr:rowOff>85725</xdr:rowOff>
        </xdr:to>
        <xdr:sp macro="" textlink="">
          <xdr:nvSpPr>
            <xdr:cNvPr id="7169" name="Object 4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485775</xdr:colOff>
          <xdr:row>30</xdr:row>
          <xdr:rowOff>85725</xdr:rowOff>
        </xdr:from>
        <xdr:to>
          <xdr:col>6</xdr:col>
          <xdr:colOff>9525</xdr:colOff>
          <xdr:row>32</xdr:row>
          <xdr:rowOff>66675</xdr:rowOff>
        </xdr:to>
        <xdr:sp macro="" textlink="">
          <xdr:nvSpPr>
            <xdr:cNvPr id="7170" name="Object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1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485775</xdr:colOff>
          <xdr:row>34</xdr:row>
          <xdr:rowOff>114300</xdr:rowOff>
        </xdr:from>
        <xdr:to>
          <xdr:col>6</xdr:col>
          <xdr:colOff>561975</xdr:colOff>
          <xdr:row>36</xdr:row>
          <xdr:rowOff>104775</xdr:rowOff>
        </xdr:to>
        <xdr:sp macro="" textlink="">
          <xdr:nvSpPr>
            <xdr:cNvPr id="7171" name="Object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1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6</xdr:col>
      <xdr:colOff>600075</xdr:colOff>
      <xdr:row>8</xdr:row>
      <xdr:rowOff>66675</xdr:rowOff>
    </xdr:to>
    <xdr:pic>
      <xdr:nvPicPr>
        <xdr:cNvPr id="9217" name="Picture 1" descr="R_0 = \left[\begin{array}{r}0,1\\-0,3\\-0,7\\0,9\end{array}\right] \qquad &#10;R=\left[\begin{array}{r@{}l r@{}l r@{}l r@{}l}1&amp;&amp;0&amp;,4&amp;-0&amp;,7&amp;0&amp;,5\\&#10;0&amp;,4&amp;1&amp;&amp;-0&amp;,2&amp;0&amp;,8\\&#10;-0&amp;,7&amp;-0&amp;,2&amp;1&amp;&amp;0&amp;,6\\&#10;0&amp;,5&amp;0&amp;,8&amp;0&amp;,6&amp;1&amp; \end{array}\right]">
          <a:extLst>
            <a:ext uri="{FF2B5EF4-FFF2-40B4-BE49-F238E27FC236}">
              <a16:creationId xmlns:a16="http://schemas.microsoft.com/office/drawing/2014/main" id="{00000000-0008-0000-0300-00000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723900"/>
          <a:ext cx="4029075" cy="7905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oleObject" Target="../embeddings/oleObject8.bin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1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10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9.bin"/><Relationship Id="rId9" Type="http://schemas.openxmlformats.org/officeDocument/2006/relationships/image" Target="../media/image4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tabSelected="1" topLeftCell="A42" zoomScale="118" zoomScaleNormal="118" workbookViewId="0">
      <selection activeCell="H80" sqref="H80"/>
    </sheetView>
  </sheetViews>
  <sheetFormatPr defaultRowHeight="12.75"/>
  <cols>
    <col min="1" max="1" width="9" style="1"/>
    <col min="2" max="2" width="10.875" style="1" customWidth="1"/>
    <col min="3" max="3" width="11.5" style="1" customWidth="1"/>
    <col min="4" max="4" width="9" style="1"/>
    <col min="5" max="5" width="13.25" style="1" customWidth="1"/>
    <col min="6" max="16384" width="9" style="1"/>
  </cols>
  <sheetData>
    <row r="1" spans="1:5">
      <c r="B1" s="38" t="s">
        <v>103</v>
      </c>
      <c r="C1" s="38" t="s">
        <v>104</v>
      </c>
      <c r="D1" s="38" t="s">
        <v>105</v>
      </c>
      <c r="E1" s="38" t="s">
        <v>106</v>
      </c>
    </row>
    <row r="2" spans="1:5" ht="63.75">
      <c r="A2" s="2" t="s">
        <v>3</v>
      </c>
      <c r="B2" s="2" t="s">
        <v>2</v>
      </c>
      <c r="C2" s="2" t="s">
        <v>1</v>
      </c>
      <c r="D2" s="2" t="s">
        <v>0</v>
      </c>
      <c r="E2" s="2" t="s">
        <v>86</v>
      </c>
    </row>
    <row r="3" spans="1:5">
      <c r="A3" s="1">
        <v>1979</v>
      </c>
      <c r="B3" s="1">
        <v>6788</v>
      </c>
      <c r="C3" s="1">
        <v>5308.8</v>
      </c>
      <c r="D3" s="1">
        <v>389</v>
      </c>
      <c r="E3" s="1">
        <v>21578</v>
      </c>
    </row>
    <row r="4" spans="1:5">
      <c r="A4" s="1">
        <v>1980</v>
      </c>
      <c r="B4" s="1">
        <v>6198</v>
      </c>
      <c r="C4" s="1">
        <v>5448.2</v>
      </c>
      <c r="D4" s="1">
        <v>393</v>
      </c>
      <c r="E4" s="1">
        <v>21928</v>
      </c>
    </row>
    <row r="5" spans="1:5">
      <c r="A5" s="1">
        <v>1981</v>
      </c>
      <c r="B5" s="1">
        <v>4369</v>
      </c>
      <c r="C5" s="1">
        <v>5259.1</v>
      </c>
      <c r="D5" s="1">
        <v>384</v>
      </c>
      <c r="E5" s="1">
        <v>19066</v>
      </c>
    </row>
    <row r="6" spans="1:5">
      <c r="A6" s="1">
        <v>1982</v>
      </c>
      <c r="B6" s="1">
        <v>4482</v>
      </c>
      <c r="C6" s="1">
        <v>5586.6</v>
      </c>
      <c r="D6" s="1">
        <v>353</v>
      </c>
      <c r="E6" s="1">
        <v>18463</v>
      </c>
    </row>
    <row r="7" spans="1:5">
      <c r="A7" s="1">
        <v>1983</v>
      </c>
      <c r="B7" s="1">
        <v>4741</v>
      </c>
      <c r="C7" s="1">
        <v>6052.3</v>
      </c>
      <c r="D7" s="1">
        <v>351</v>
      </c>
      <c r="E7" s="1">
        <v>18418</v>
      </c>
    </row>
    <row r="8" spans="1:5">
      <c r="A8" s="1">
        <v>1984</v>
      </c>
      <c r="B8" s="1">
        <v>5090</v>
      </c>
      <c r="C8" s="1">
        <v>6465.8</v>
      </c>
      <c r="D8" s="1">
        <v>348</v>
      </c>
      <c r="E8" s="1">
        <v>18289</v>
      </c>
    </row>
    <row r="9" spans="1:5">
      <c r="A9" s="1">
        <v>1985</v>
      </c>
      <c r="B9" s="1">
        <v>5124</v>
      </c>
      <c r="C9" s="1">
        <v>7928</v>
      </c>
      <c r="D9" s="1">
        <v>350</v>
      </c>
      <c r="E9" s="1">
        <v>18492</v>
      </c>
    </row>
    <row r="10" spans="1:5">
      <c r="A10" s="1">
        <v>1986</v>
      </c>
      <c r="B10" s="1">
        <v>5488</v>
      </c>
      <c r="C10" s="1">
        <v>1194.8</v>
      </c>
      <c r="D10" s="1">
        <v>349</v>
      </c>
      <c r="E10" s="1">
        <v>17811</v>
      </c>
    </row>
    <row r="11" spans="1:5">
      <c r="A11" s="1">
        <v>1987</v>
      </c>
      <c r="B11" s="1">
        <v>5682</v>
      </c>
      <c r="C11" s="1">
        <v>19782</v>
      </c>
      <c r="D11" s="1">
        <v>353</v>
      </c>
      <c r="E11" s="1">
        <v>17259</v>
      </c>
    </row>
    <row r="12" spans="1:5">
      <c r="A12" s="1">
        <v>1988</v>
      </c>
      <c r="B12" s="1">
        <v>6277</v>
      </c>
      <c r="C12" s="1">
        <v>33059</v>
      </c>
      <c r="D12" s="1">
        <v>374</v>
      </c>
      <c r="E12" s="1">
        <v>15499</v>
      </c>
    </row>
    <row r="13" spans="1:5">
      <c r="A13" s="1">
        <v>1989</v>
      </c>
      <c r="B13" s="1">
        <v>5294</v>
      </c>
      <c r="C13" s="1">
        <v>73286</v>
      </c>
      <c r="D13" s="1">
        <v>378</v>
      </c>
      <c r="E13" s="1">
        <v>14940</v>
      </c>
    </row>
    <row r="14" spans="1:5">
      <c r="A14" s="1">
        <v>1990</v>
      </c>
      <c r="B14" s="1">
        <v>4105</v>
      </c>
      <c r="C14" s="1">
        <v>575.6</v>
      </c>
      <c r="D14" s="1">
        <v>390</v>
      </c>
      <c r="E14" s="1">
        <v>13816</v>
      </c>
    </row>
    <row r="15" spans="1:5">
      <c r="A15" s="1">
        <v>1991</v>
      </c>
      <c r="B15" s="1">
        <v>3389</v>
      </c>
      <c r="C15" s="1">
        <v>1265.2</v>
      </c>
      <c r="D15" s="1">
        <v>387</v>
      </c>
      <c r="E15" s="1">
        <v>12416</v>
      </c>
    </row>
    <row r="16" spans="1:5">
      <c r="A16" s="1">
        <v>1992</v>
      </c>
      <c r="B16" s="1">
        <v>2896</v>
      </c>
      <c r="C16" s="1">
        <v>1347.8</v>
      </c>
      <c r="D16" s="1">
        <v>389</v>
      </c>
      <c r="E16" s="1">
        <v>11866</v>
      </c>
    </row>
    <row r="17" spans="1:13">
      <c r="A17" s="1">
        <v>1993</v>
      </c>
      <c r="B17" s="1">
        <v>2658</v>
      </c>
      <c r="C17" s="1">
        <v>1590.1</v>
      </c>
      <c r="D17" s="1">
        <v>373</v>
      </c>
      <c r="E17" s="1">
        <v>11856</v>
      </c>
    </row>
    <row r="18" spans="1:13">
      <c r="A18" s="1">
        <v>1994</v>
      </c>
      <c r="B18" s="1">
        <v>2676</v>
      </c>
      <c r="C18" s="1">
        <v>1733.2</v>
      </c>
      <c r="D18" s="1">
        <v>362</v>
      </c>
      <c r="E18" s="1">
        <v>11721</v>
      </c>
    </row>
    <row r="19" spans="1:13">
      <c r="A19" s="1">
        <v>1995</v>
      </c>
      <c r="B19" s="1">
        <v>2595</v>
      </c>
      <c r="C19" s="1">
        <v>2132.8000000000002</v>
      </c>
      <c r="D19" s="1">
        <v>338</v>
      </c>
      <c r="E19" s="1">
        <v>11715</v>
      </c>
    </row>
    <row r="20" spans="1:13">
      <c r="A20" s="1">
        <v>1996</v>
      </c>
      <c r="B20" s="1">
        <v>2411</v>
      </c>
      <c r="C20" s="1">
        <v>2761.4</v>
      </c>
      <c r="D20" s="1">
        <v>347</v>
      </c>
      <c r="E20" s="1">
        <v>11605</v>
      </c>
    </row>
    <row r="21" spans="1:13">
      <c r="A21" s="1">
        <v>1997</v>
      </c>
      <c r="B21" s="1">
        <v>2399</v>
      </c>
      <c r="C21" s="1">
        <v>3361</v>
      </c>
      <c r="D21" s="1">
        <v>343</v>
      </c>
      <c r="E21" s="1">
        <v>11520</v>
      </c>
    </row>
    <row r="22" spans="1:13">
      <c r="A22" s="1">
        <v>1998</v>
      </c>
      <c r="B22" s="1">
        <v>2407</v>
      </c>
      <c r="C22" s="1">
        <v>4005.1</v>
      </c>
      <c r="D22" s="1">
        <v>353</v>
      </c>
      <c r="E22" s="1">
        <v>11524</v>
      </c>
    </row>
    <row r="23" spans="1:13">
      <c r="A23" s="1">
        <v>1999</v>
      </c>
      <c r="B23" s="1">
        <v>2285</v>
      </c>
      <c r="C23" s="1">
        <v>4590.5</v>
      </c>
      <c r="D23" s="1">
        <v>342</v>
      </c>
      <c r="E23" s="1">
        <v>11462</v>
      </c>
    </row>
    <row r="24" spans="1:13">
      <c r="A24" s="1">
        <v>2000</v>
      </c>
      <c r="B24" s="1">
        <v>2404</v>
      </c>
      <c r="C24" s="1">
        <v>3981.5</v>
      </c>
      <c r="D24" s="1">
        <v>344</v>
      </c>
      <c r="E24" s="1">
        <v>11459</v>
      </c>
    </row>
    <row r="26" spans="1:13">
      <c r="A26" s="5" t="s">
        <v>5</v>
      </c>
      <c r="B26" s="5">
        <f>AVERAGE(B3:B24)</f>
        <v>4079.909090909091</v>
      </c>
      <c r="C26" s="5">
        <f>AVERAGE(C3:C24)</f>
        <v>8941.5818181818195</v>
      </c>
      <c r="D26" s="5">
        <f>AVERAGE(D3:D24)</f>
        <v>363.18181818181819</v>
      </c>
      <c r="E26" s="5">
        <f>AVERAGE(E3:E24)</f>
        <v>15122.863636363636</v>
      </c>
      <c r="F26" s="4"/>
      <c r="G26" s="4"/>
      <c r="H26" s="4"/>
      <c r="I26" s="4"/>
      <c r="J26" s="4"/>
    </row>
    <row r="27" spans="1:13">
      <c r="A27" s="5" t="s">
        <v>6</v>
      </c>
      <c r="B27" s="5">
        <f>STDEV(B3:B24)</f>
        <v>1511.5504783118718</v>
      </c>
      <c r="C27" s="5">
        <f>STDEV(C3:C24)</f>
        <v>16096.865692799784</v>
      </c>
      <c r="D27" s="5">
        <f>STDEV(D3:D24)</f>
        <v>18.97526300372688</v>
      </c>
      <c r="E27" s="5">
        <f>STDEV(E3:E24)</f>
        <v>3635.2467695821661</v>
      </c>
      <c r="F27" s="4"/>
      <c r="G27" s="4"/>
      <c r="H27" s="4"/>
      <c r="I27" s="4"/>
      <c r="J27" s="4"/>
    </row>
    <row r="28" spans="1:13">
      <c r="A28" s="5" t="s">
        <v>4</v>
      </c>
      <c r="B28" s="3">
        <f>B27/B26</f>
        <v>0.37048631345240735</v>
      </c>
      <c r="C28" s="3">
        <f>C27/C26</f>
        <v>1.8002257341165748</v>
      </c>
      <c r="D28" s="6">
        <f>D27/D26</f>
        <v>5.2247282363202925E-2</v>
      </c>
      <c r="E28" s="3">
        <f>E27/E26</f>
        <v>0.2403808469740509</v>
      </c>
      <c r="F28" s="4"/>
      <c r="G28" s="4"/>
      <c r="H28" s="4"/>
      <c r="I28" s="4"/>
      <c r="J28" s="4"/>
    </row>
    <row r="29" spans="1:13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3" s="10" customFormat="1">
      <c r="A30" s="10" t="s">
        <v>28</v>
      </c>
      <c r="B30" s="11"/>
      <c r="C30" s="11"/>
      <c r="D30" s="11"/>
      <c r="E30" s="11"/>
      <c r="F30" s="11"/>
      <c r="G30" s="11"/>
      <c r="H30" s="11"/>
      <c r="I30" s="11"/>
      <c r="J30" s="11"/>
      <c r="K30" s="1" t="s">
        <v>129</v>
      </c>
      <c r="L30" s="1"/>
      <c r="M30" s="1"/>
    </row>
    <row r="31" spans="1:13" s="5" customFormat="1">
      <c r="B31" s="4"/>
      <c r="C31" s="4"/>
      <c r="D31" s="4"/>
      <c r="E31" s="4"/>
      <c r="F31" s="4"/>
      <c r="G31" s="4"/>
      <c r="H31" s="4"/>
      <c r="I31" s="4"/>
      <c r="J31" s="4"/>
    </row>
    <row r="32" spans="1:13" s="12" customFormat="1">
      <c r="A32" s="12" t="s">
        <v>127</v>
      </c>
      <c r="F32" s="13"/>
      <c r="G32" s="13"/>
      <c r="H32" s="13"/>
      <c r="I32" s="13"/>
      <c r="J32" s="13"/>
    </row>
    <row r="33" spans="1:11">
      <c r="A33" s="4"/>
      <c r="B33" s="17" t="s">
        <v>8</v>
      </c>
      <c r="C33" s="16">
        <f>CORREL($B$3:$B$24,C3:C24)</f>
        <v>0.39394867501538589</v>
      </c>
      <c r="D33" s="16">
        <f t="shared" ref="D33:E33" si="0">CORREL($B$3:$B$24,D3:D24)</f>
        <v>0.3821823193049067</v>
      </c>
      <c r="E33" s="16">
        <f t="shared" si="0"/>
        <v>0.88322814757380319</v>
      </c>
      <c r="F33" s="15"/>
      <c r="G33" s="5"/>
      <c r="H33" s="4"/>
      <c r="I33" s="4"/>
      <c r="J33" s="4"/>
    </row>
    <row r="34" spans="1:11">
      <c r="A34" s="4"/>
      <c r="B34" s="4"/>
      <c r="C34" s="4"/>
      <c r="D34" s="4"/>
      <c r="E34" s="4"/>
      <c r="F34" s="5"/>
      <c r="G34" s="5"/>
      <c r="H34" s="4"/>
      <c r="I34" s="4"/>
      <c r="J34" s="4"/>
    </row>
    <row r="35" spans="1:11">
      <c r="A35" s="4"/>
      <c r="B35" s="4"/>
      <c r="C35" s="4"/>
      <c r="D35" s="4"/>
      <c r="E35" s="4"/>
      <c r="F35" s="5"/>
      <c r="G35" s="5"/>
      <c r="H35" s="4"/>
      <c r="I35" s="4"/>
      <c r="J35" s="4"/>
    </row>
    <row r="36" spans="1:11">
      <c r="A36" s="4"/>
      <c r="B36" s="5"/>
      <c r="C36" s="16">
        <f>CORREL($C$3:$C$24,C3:C24)</f>
        <v>1</v>
      </c>
      <c r="D36" s="16">
        <f t="shared" ref="D36:E36" si="1">CORREL($C$3:$C$24,D3:D24)</f>
        <v>0.15812995268214952</v>
      </c>
      <c r="E36" s="16">
        <f t="shared" si="1"/>
        <v>0.10401199254204165</v>
      </c>
      <c r="F36" s="5"/>
      <c r="G36" s="5"/>
      <c r="H36" s="4"/>
      <c r="I36" s="4"/>
      <c r="J36" s="4"/>
    </row>
    <row r="37" spans="1:11">
      <c r="A37" s="4"/>
      <c r="B37" s="17" t="s">
        <v>7</v>
      </c>
      <c r="C37" s="16">
        <f>CORREL($D$3:$D$24,C3:C24)</f>
        <v>0.15812995268214952</v>
      </c>
      <c r="D37" s="16">
        <f t="shared" ref="D37:E37" si="2">CORREL($D$3:$D$24,D3:D24)</f>
        <v>1</v>
      </c>
      <c r="E37" s="16">
        <f t="shared" si="2"/>
        <v>0.28633901292241826</v>
      </c>
      <c r="F37" s="15"/>
      <c r="G37" s="5"/>
      <c r="H37" s="4"/>
      <c r="I37" s="4"/>
      <c r="J37" s="4"/>
    </row>
    <row r="38" spans="1:11">
      <c r="A38" s="4"/>
      <c r="B38" s="5"/>
      <c r="C38" s="16">
        <f>CORREL($E$3:$E$24,C3:C24)</f>
        <v>0.10401199254204165</v>
      </c>
      <c r="D38" s="16">
        <f t="shared" ref="D38:E38" si="3">CORREL($E$3:$E$24,D3:D24)</f>
        <v>0.28633901292241826</v>
      </c>
      <c r="E38" s="16">
        <f t="shared" si="3"/>
        <v>1</v>
      </c>
      <c r="F38" s="5"/>
      <c r="G38" s="5"/>
      <c r="H38" s="4"/>
      <c r="I38" s="4"/>
      <c r="J38" s="4"/>
    </row>
    <row r="39" spans="1:11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1" s="12" customFormat="1">
      <c r="F40" s="13"/>
      <c r="G40" s="13"/>
      <c r="H40" s="13"/>
      <c r="I40" s="13"/>
      <c r="J40" s="13"/>
    </row>
    <row r="41" spans="1:11" s="5" customFormat="1">
      <c r="A41" s="25" t="s">
        <v>82</v>
      </c>
      <c r="B41" s="26"/>
      <c r="C41" s="26"/>
      <c r="D41" s="26"/>
      <c r="E41" s="26"/>
      <c r="F41" s="26"/>
      <c r="G41" s="26"/>
      <c r="H41" s="27"/>
      <c r="I41" s="4"/>
      <c r="J41" s="4"/>
    </row>
    <row r="42" spans="1:11" s="5" customFormat="1">
      <c r="B42" s="4"/>
      <c r="C42" s="4"/>
      <c r="D42" s="4"/>
      <c r="E42" s="4"/>
      <c r="F42" s="4"/>
      <c r="G42" s="4"/>
      <c r="H42" s="4"/>
      <c r="I42" s="4"/>
      <c r="J42" s="4"/>
    </row>
    <row r="43" spans="1:11">
      <c r="A43" s="4"/>
      <c r="B43" s="17" t="s">
        <v>8</v>
      </c>
      <c r="C43" s="16">
        <v>0.39394867501538589</v>
      </c>
      <c r="D43" s="16">
        <v>0.3821823193049067</v>
      </c>
      <c r="E43" s="16">
        <v>0.88322814757380319</v>
      </c>
      <c r="F43" s="15" t="s">
        <v>26</v>
      </c>
      <c r="G43" s="5"/>
      <c r="H43" s="4"/>
      <c r="I43" s="4"/>
      <c r="J43" s="4"/>
    </row>
    <row r="44" spans="1:11">
      <c r="A44" s="4"/>
      <c r="B44" s="4"/>
      <c r="C44" s="4"/>
      <c r="D44" s="4"/>
      <c r="E44" s="4"/>
      <c r="F44" s="5"/>
      <c r="G44" s="5"/>
      <c r="H44" s="4"/>
      <c r="I44" s="4"/>
      <c r="J44" s="4"/>
      <c r="K44" s="1" t="s">
        <v>107</v>
      </c>
    </row>
    <row r="45" spans="1:11">
      <c r="B45" s="4"/>
      <c r="C45" s="4"/>
      <c r="D45" s="32" t="s">
        <v>87</v>
      </c>
      <c r="E45" s="4"/>
      <c r="F45" s="5"/>
      <c r="G45" s="5"/>
      <c r="H45" s="4"/>
      <c r="I45" s="4"/>
      <c r="J45" s="4"/>
    </row>
    <row r="46" spans="1:11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1">
      <c r="A47" s="15"/>
      <c r="B47" s="4"/>
      <c r="C47" s="4"/>
      <c r="D47" s="4"/>
      <c r="E47" s="4"/>
      <c r="F47" s="4"/>
      <c r="G47" s="4"/>
      <c r="H47" s="4"/>
      <c r="I47" s="4"/>
      <c r="J47" s="4"/>
    </row>
    <row r="48" spans="1:11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1" s="5" customFormat="1">
      <c r="A49" s="25" t="s">
        <v>81</v>
      </c>
      <c r="B49" s="26"/>
      <c r="C49" s="26"/>
      <c r="D49" s="26"/>
      <c r="E49" s="26"/>
      <c r="F49" s="26"/>
      <c r="G49" s="26"/>
      <c r="H49" s="27"/>
      <c r="I49" s="4"/>
      <c r="J49" s="4"/>
    </row>
    <row r="50" spans="1:11">
      <c r="A50" s="5" t="s">
        <v>9</v>
      </c>
      <c r="B50" s="5">
        <v>0.1</v>
      </c>
      <c r="C50" s="8" t="s">
        <v>27</v>
      </c>
      <c r="D50" s="9">
        <f>COUNT(B3:B24)</f>
        <v>22</v>
      </c>
      <c r="E50" s="5"/>
      <c r="F50" s="4"/>
      <c r="G50" s="4"/>
      <c r="H50" s="4"/>
      <c r="I50" s="4"/>
      <c r="J50" s="4"/>
    </row>
    <row r="51" spans="1:11">
      <c r="A51" s="5" t="s">
        <v>10</v>
      </c>
      <c r="B51" s="5">
        <f>D50-2</f>
        <v>20</v>
      </c>
      <c r="C51" s="5"/>
      <c r="D51" s="5"/>
      <c r="E51" s="5"/>
      <c r="F51" s="4"/>
      <c r="G51" s="4"/>
      <c r="H51" s="4"/>
      <c r="I51" s="4"/>
      <c r="J51" s="4"/>
    </row>
    <row r="52" spans="1:11">
      <c r="A52" s="5" t="s">
        <v>11</v>
      </c>
      <c r="B52" s="18">
        <f>TINV(B50,B51)</f>
        <v>1.7247182429207868</v>
      </c>
      <c r="C52" s="5"/>
      <c r="D52" s="5"/>
      <c r="E52" s="5"/>
      <c r="F52" s="4"/>
      <c r="G52" s="4"/>
      <c r="H52" s="4"/>
      <c r="I52" s="4"/>
      <c r="J52" s="4"/>
    </row>
    <row r="53" spans="1:11">
      <c r="A53" s="5" t="s">
        <v>12</v>
      </c>
      <c r="B53" s="5"/>
      <c r="C53" s="18">
        <f>SQRT(B52^2/(B52^2+B51))</f>
        <v>0.35982694082255151</v>
      </c>
      <c r="D53" s="5"/>
      <c r="E53" s="5"/>
      <c r="F53" s="4"/>
      <c r="G53" s="4"/>
      <c r="H53" s="4"/>
      <c r="I53" s="4"/>
      <c r="J53" s="4"/>
    </row>
    <row r="54" spans="1:11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1">
      <c r="A55" s="5" t="s">
        <v>13</v>
      </c>
      <c r="B55" s="5"/>
      <c r="C55" s="5"/>
      <c r="D55" s="5"/>
      <c r="E55" s="4"/>
      <c r="F55" s="15" t="s">
        <v>14</v>
      </c>
      <c r="G55" s="4"/>
      <c r="H55" s="4"/>
      <c r="I55" s="4"/>
      <c r="J55" s="4"/>
    </row>
    <row r="56" spans="1:11">
      <c r="A56" s="5"/>
      <c r="B56" s="5"/>
      <c r="C56" s="5"/>
      <c r="D56" s="5"/>
      <c r="E56" s="4"/>
      <c r="F56" s="4"/>
      <c r="G56" s="4"/>
      <c r="H56" s="4"/>
      <c r="I56" s="4"/>
      <c r="J56" s="4"/>
    </row>
    <row r="57" spans="1:11">
      <c r="A57" s="5"/>
      <c r="B57" s="17" t="s">
        <v>8</v>
      </c>
      <c r="C57" s="16">
        <v>0.39394867501538589</v>
      </c>
      <c r="D57" s="16">
        <v>0.3821823193049067</v>
      </c>
      <c r="E57" s="16">
        <v>0.88322814757380319</v>
      </c>
      <c r="F57" s="4"/>
      <c r="G57" s="4"/>
      <c r="H57" s="4"/>
      <c r="I57" s="4"/>
      <c r="J57" s="4"/>
    </row>
    <row r="58" spans="1:11">
      <c r="B58" s="5"/>
      <c r="C58" s="5"/>
      <c r="D58" s="5"/>
      <c r="E58" s="4"/>
      <c r="F58" s="4"/>
      <c r="G58" s="4"/>
      <c r="H58" s="4"/>
      <c r="I58" s="4"/>
      <c r="J58" s="4"/>
    </row>
    <row r="59" spans="1:11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1">
      <c r="A60" s="5" t="s">
        <v>15</v>
      </c>
      <c r="B60" s="5"/>
      <c r="C60" s="5"/>
      <c r="D60" s="8" t="s">
        <v>88</v>
      </c>
      <c r="E60" s="9">
        <f>MAX(C57:E57)</f>
        <v>0.88322814757380319</v>
      </c>
      <c r="F60" s="5" t="s">
        <v>16</v>
      </c>
      <c r="G60" s="15" t="s">
        <v>108</v>
      </c>
      <c r="H60" s="5"/>
      <c r="I60" s="4"/>
      <c r="J60" s="4"/>
      <c r="K60" s="1" t="s">
        <v>107</v>
      </c>
    </row>
    <row r="61" spans="1:11">
      <c r="A61" s="5"/>
      <c r="B61" s="5"/>
      <c r="C61" s="5"/>
      <c r="D61" s="5"/>
      <c r="E61" s="5"/>
      <c r="F61" s="5"/>
      <c r="G61" s="4"/>
      <c r="H61" s="4"/>
      <c r="I61" s="4"/>
      <c r="J61" s="4"/>
    </row>
    <row r="62" spans="1:11">
      <c r="D62" s="5"/>
      <c r="E62" s="5"/>
      <c r="F62" s="5"/>
      <c r="G62" s="4"/>
      <c r="H62" s="4"/>
      <c r="I62" s="4"/>
      <c r="J62" s="4"/>
    </row>
    <row r="63" spans="1:11">
      <c r="A63" s="5"/>
      <c r="B63" s="5"/>
      <c r="C63" s="5"/>
      <c r="D63" s="5"/>
      <c r="E63" s="5"/>
      <c r="F63" s="5"/>
      <c r="G63" s="4"/>
      <c r="H63" s="4"/>
      <c r="I63" s="4"/>
      <c r="J63" s="4"/>
    </row>
    <row r="64" spans="1:11">
      <c r="A64" s="5" t="s">
        <v>17</v>
      </c>
      <c r="B64" s="5"/>
      <c r="C64" s="5"/>
      <c r="D64" s="5"/>
      <c r="E64" s="5"/>
      <c r="F64" s="5" t="s">
        <v>18</v>
      </c>
      <c r="G64" s="4"/>
      <c r="H64" s="4"/>
      <c r="I64" s="4"/>
      <c r="J64" s="4"/>
    </row>
    <row r="65" spans="1:11">
      <c r="A65" s="5"/>
      <c r="B65" s="5"/>
      <c r="C65" s="5"/>
      <c r="D65" s="5"/>
      <c r="E65" s="5"/>
      <c r="F65" s="5"/>
      <c r="G65" s="4"/>
      <c r="H65" s="4"/>
      <c r="I65" s="4"/>
      <c r="J65" s="4"/>
    </row>
    <row r="66" spans="1:11">
      <c r="A66" s="4"/>
      <c r="B66" s="4"/>
      <c r="C66" s="4"/>
      <c r="D66" s="4"/>
      <c r="E66" s="4"/>
      <c r="F66" s="5"/>
      <c r="G66" s="5"/>
      <c r="H66" s="4"/>
      <c r="I66" s="4"/>
      <c r="J66" s="4"/>
    </row>
    <row r="67" spans="1:11">
      <c r="A67" s="4"/>
      <c r="B67" s="5"/>
      <c r="C67" s="16">
        <v>1</v>
      </c>
      <c r="D67" s="16">
        <v>0.15812995268214952</v>
      </c>
      <c r="E67" s="33">
        <v>0.10401199254204165</v>
      </c>
      <c r="F67" s="5" t="s">
        <v>89</v>
      </c>
      <c r="G67" s="5"/>
      <c r="H67" s="4"/>
      <c r="I67" s="4"/>
      <c r="J67" s="4"/>
    </row>
    <row r="68" spans="1:11">
      <c r="A68" s="4"/>
      <c r="B68" s="17" t="s">
        <v>7</v>
      </c>
      <c r="C68" s="16">
        <v>0.15812995268214952</v>
      </c>
      <c r="D68" s="16">
        <v>1</v>
      </c>
      <c r="E68" s="33">
        <v>0.28633901292241826</v>
      </c>
      <c r="F68" s="5" t="s">
        <v>89</v>
      </c>
      <c r="G68" s="5"/>
      <c r="H68" s="4"/>
      <c r="I68" s="4"/>
      <c r="J68" s="4"/>
    </row>
    <row r="69" spans="1:11">
      <c r="A69" s="4"/>
      <c r="B69" s="5"/>
      <c r="C69" s="16">
        <v>0.10401199254204165</v>
      </c>
      <c r="D69" s="16">
        <v>0.28633901292241826</v>
      </c>
      <c r="E69" s="33">
        <v>1</v>
      </c>
      <c r="F69" s="5" t="s">
        <v>90</v>
      </c>
      <c r="G69" s="5"/>
      <c r="H69" s="4"/>
      <c r="I69" s="4"/>
      <c r="J69" s="4"/>
    </row>
    <row r="70" spans="1:11">
      <c r="B70" s="5"/>
      <c r="C70" s="5"/>
      <c r="D70" s="5"/>
      <c r="E70" s="5"/>
      <c r="F70" s="5"/>
      <c r="G70" s="4"/>
      <c r="H70" s="4"/>
      <c r="I70" s="4"/>
      <c r="J70" s="4"/>
    </row>
    <row r="71" spans="1:11">
      <c r="B71" s="5"/>
      <c r="C71" s="15" t="s">
        <v>19</v>
      </c>
      <c r="E71" s="5"/>
      <c r="F71" s="5"/>
      <c r="G71" s="4"/>
      <c r="H71" s="4"/>
      <c r="I71" s="4"/>
      <c r="J71" s="4"/>
    </row>
    <row r="72" spans="1:11">
      <c r="B72" s="5"/>
      <c r="C72" s="5" t="s">
        <v>92</v>
      </c>
      <c r="E72" s="5"/>
      <c r="F72" s="5"/>
      <c r="G72" s="4"/>
      <c r="H72" s="4"/>
      <c r="I72" s="4"/>
      <c r="J72" s="4"/>
    </row>
    <row r="73" spans="1:11">
      <c r="B73" s="5"/>
      <c r="C73" s="5"/>
      <c r="D73" s="5"/>
      <c r="E73" s="5"/>
      <c r="F73" s="5"/>
      <c r="G73" s="4"/>
      <c r="H73" s="4"/>
      <c r="I73" s="4"/>
      <c r="J73" s="4"/>
    </row>
    <row r="74" spans="1:11">
      <c r="B74" s="15" t="s">
        <v>91</v>
      </c>
      <c r="C74" s="5"/>
      <c r="D74" s="5"/>
      <c r="E74" s="5"/>
      <c r="F74" s="5"/>
      <c r="G74" s="4"/>
      <c r="H74" s="4"/>
      <c r="I74" s="4"/>
      <c r="J74" s="4"/>
      <c r="K74" s="1" t="s">
        <v>109</v>
      </c>
    </row>
    <row r="75" spans="1:1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1" s="12" customFormat="1">
      <c r="A77" s="12" t="s">
        <v>29</v>
      </c>
    </row>
    <row r="78" spans="1:11">
      <c r="A78" s="39" t="s">
        <v>21</v>
      </c>
      <c r="B78" s="5"/>
      <c r="C78" s="5"/>
      <c r="D78" s="5"/>
      <c r="E78" s="5"/>
      <c r="F78" s="5"/>
      <c r="G78" s="5"/>
      <c r="H78" s="5"/>
      <c r="I78" s="5"/>
      <c r="J78" s="5"/>
    </row>
    <row r="79" spans="1:1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1">
      <c r="A80" s="5" t="s">
        <v>22</v>
      </c>
      <c r="B80" s="16" t="s">
        <v>23</v>
      </c>
      <c r="C80" s="16">
        <f>ABS(MDETERM(C86:D87))</f>
        <v>0.97499491806474115</v>
      </c>
      <c r="D80" s="5"/>
      <c r="E80" s="5"/>
      <c r="F80" s="16">
        <v>1</v>
      </c>
      <c r="G80" s="16">
        <v>0.15812995268214952</v>
      </c>
      <c r="H80" s="16">
        <v>0.10401199254204165</v>
      </c>
      <c r="I80" s="5"/>
      <c r="J80" s="5"/>
    </row>
    <row r="81" spans="1:11">
      <c r="A81" s="5"/>
      <c r="B81" s="16" t="s">
        <v>24</v>
      </c>
      <c r="C81" s="16">
        <f>ABS(MDETERM(C89:D90))</f>
        <v>0.98918150540743432</v>
      </c>
      <c r="D81" s="5"/>
      <c r="E81" s="17" t="s">
        <v>7</v>
      </c>
      <c r="F81" s="16">
        <v>0.15812995268214952</v>
      </c>
      <c r="G81" s="16">
        <v>1</v>
      </c>
      <c r="H81" s="16">
        <v>0.28633901292241826</v>
      </c>
      <c r="I81" s="5"/>
      <c r="J81" s="5"/>
    </row>
    <row r="82" spans="1:11">
      <c r="A82" s="5"/>
      <c r="B82" s="16" t="s">
        <v>25</v>
      </c>
      <c r="C82" s="16">
        <f>ABS(MDETERM(C92:D93))</f>
        <v>0.91800996967861515</v>
      </c>
      <c r="D82" s="5"/>
      <c r="E82" s="5"/>
      <c r="F82" s="16">
        <v>0.10401199254204165</v>
      </c>
      <c r="G82" s="16">
        <v>0.28633901292241826</v>
      </c>
      <c r="H82" s="16">
        <v>1</v>
      </c>
      <c r="I82" s="5"/>
      <c r="J82" s="5"/>
    </row>
    <row r="83" spans="1:11">
      <c r="A83" s="5"/>
      <c r="B83" s="32" t="s">
        <v>33</v>
      </c>
      <c r="C83" s="32">
        <f>MAX(C80:C82)</f>
        <v>0.98918150540743432</v>
      </c>
      <c r="D83" s="5"/>
      <c r="E83" s="5"/>
      <c r="F83" s="5"/>
      <c r="G83" s="5"/>
      <c r="H83" s="5"/>
      <c r="I83" s="5"/>
      <c r="J83" s="5"/>
    </row>
    <row r="84" spans="1:1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1">
      <c r="A86" s="5"/>
      <c r="B86" s="5" t="s">
        <v>93</v>
      </c>
      <c r="C86" s="16">
        <v>1</v>
      </c>
      <c r="D86" s="16">
        <v>0.15812995268214952</v>
      </c>
      <c r="E86" s="5"/>
      <c r="F86" s="15" t="s">
        <v>20</v>
      </c>
      <c r="G86" s="5"/>
      <c r="H86" s="5"/>
      <c r="I86" s="5"/>
      <c r="J86" s="5"/>
    </row>
    <row r="87" spans="1:11">
      <c r="A87" s="5"/>
      <c r="B87" s="5"/>
      <c r="C87" s="16">
        <v>0.15812995268214952</v>
      </c>
      <c r="D87" s="16">
        <v>1</v>
      </c>
      <c r="E87" s="5"/>
      <c r="F87" s="15" t="s">
        <v>95</v>
      </c>
      <c r="G87" s="5"/>
      <c r="H87" s="5"/>
      <c r="I87" s="5"/>
      <c r="J87" s="5"/>
      <c r="K87" s="1" t="s">
        <v>110</v>
      </c>
    </row>
    <row r="88" spans="1:1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1">
      <c r="A89" s="5"/>
      <c r="B89" s="5" t="s">
        <v>94</v>
      </c>
      <c r="C89" s="16">
        <f>F80</f>
        <v>1</v>
      </c>
      <c r="D89" s="16">
        <f>H80</f>
        <v>0.10401199254204165</v>
      </c>
      <c r="E89" s="5"/>
      <c r="G89" s="5"/>
      <c r="H89" s="5"/>
      <c r="I89" s="5"/>
      <c r="J89" s="5"/>
    </row>
    <row r="90" spans="1:11">
      <c r="A90" s="5"/>
      <c r="B90" s="5"/>
      <c r="C90" s="16">
        <f>F82</f>
        <v>0.10401199254204165</v>
      </c>
      <c r="D90" s="16">
        <f>H82</f>
        <v>1</v>
      </c>
      <c r="E90" s="5"/>
      <c r="F90" s="5"/>
      <c r="G90" s="5"/>
      <c r="H90" s="5"/>
      <c r="I90" s="5"/>
      <c r="J90" s="5"/>
    </row>
    <row r="91" spans="1:1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1">
      <c r="A92" s="5"/>
      <c r="B92" s="5" t="s">
        <v>98</v>
      </c>
      <c r="C92" s="16">
        <v>1</v>
      </c>
      <c r="D92" s="16">
        <v>0.28633901292241826</v>
      </c>
      <c r="E92" s="5"/>
      <c r="F92" s="5"/>
      <c r="G92" s="5"/>
      <c r="H92" s="5"/>
      <c r="I92" s="5"/>
      <c r="J92" s="5"/>
    </row>
    <row r="93" spans="1:11">
      <c r="A93" s="5"/>
      <c r="B93" s="5"/>
      <c r="C93" s="16">
        <v>0.28633901292241826</v>
      </c>
      <c r="D93" s="16">
        <v>1</v>
      </c>
      <c r="E93" s="5"/>
      <c r="F93" s="5"/>
      <c r="G93" s="5"/>
      <c r="H93" s="5"/>
      <c r="I93" s="5"/>
      <c r="J93" s="5"/>
    </row>
    <row r="94" spans="1:11">
      <c r="B94" s="5"/>
      <c r="C94" s="7"/>
      <c r="D94" s="5"/>
      <c r="E94" s="5"/>
      <c r="F94" s="5"/>
      <c r="G94" s="5"/>
      <c r="H94" s="5"/>
      <c r="I94" s="5"/>
      <c r="J94" s="5"/>
    </row>
    <row r="95" spans="1:11">
      <c r="A95" s="5"/>
      <c r="B95" s="5"/>
      <c r="C95" s="5"/>
      <c r="E95" s="5"/>
      <c r="F95" s="5"/>
      <c r="G95" s="5"/>
      <c r="H95" s="5"/>
      <c r="I95" s="5"/>
      <c r="J95" s="5"/>
    </row>
  </sheetData>
  <phoneticPr fontId="16" type="noConversion"/>
  <pageMargins left="0.75" right="0.75" top="1" bottom="1" header="0.5" footer="0.5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6147" r:id="rId4">
          <objectPr defaultSize="0" autoPict="0" r:id="rId5">
            <anchor moveWithCells="1" sizeWithCells="1">
              <from>
                <xdr:col>3</xdr:col>
                <xdr:colOff>676275</xdr:colOff>
                <xdr:row>49</xdr:row>
                <xdr:rowOff>123825</xdr:rowOff>
              </from>
              <to>
                <xdr:col>5</xdr:col>
                <xdr:colOff>295275</xdr:colOff>
                <xdr:row>52</xdr:row>
                <xdr:rowOff>57150</xdr:rowOff>
              </to>
            </anchor>
          </objectPr>
        </oleObject>
      </mc:Choice>
      <mc:Fallback>
        <oleObject progId="Equation.3" shapeId="6147" r:id="rId4"/>
      </mc:Fallback>
    </mc:AlternateContent>
    <mc:AlternateContent xmlns:mc="http://schemas.openxmlformats.org/markup-compatibility/2006">
      <mc:Choice Requires="x14">
        <oleObject progId="Equation.3" shapeId="6148" r:id="rId6">
          <objectPr defaultSize="0" autoPict="0" r:id="rId7">
            <anchor moveWithCells="1" sizeWithCells="1">
              <from>
                <xdr:col>3</xdr:col>
                <xdr:colOff>438150</xdr:colOff>
                <xdr:row>53</xdr:row>
                <xdr:rowOff>85725</xdr:rowOff>
              </from>
              <to>
                <xdr:col>4</xdr:col>
                <xdr:colOff>523875</xdr:colOff>
                <xdr:row>55</xdr:row>
                <xdr:rowOff>57150</xdr:rowOff>
              </to>
            </anchor>
          </objectPr>
        </oleObject>
      </mc:Choice>
      <mc:Fallback>
        <oleObject progId="Equation.3" shapeId="6148" r:id="rId6"/>
      </mc:Fallback>
    </mc:AlternateContent>
    <mc:AlternateContent xmlns:mc="http://schemas.openxmlformats.org/markup-compatibility/2006">
      <mc:Choice Requires="x14">
        <oleObject progId="Equation.3" shapeId="6149" r:id="rId8">
          <objectPr defaultSize="0" autoPict="0" r:id="rId9">
            <anchor moveWithCells="1" sizeWithCells="1">
              <from>
                <xdr:col>2</xdr:col>
                <xdr:colOff>28575</xdr:colOff>
                <xdr:row>58</xdr:row>
                <xdr:rowOff>104775</xdr:rowOff>
              </from>
              <to>
                <xdr:col>3</xdr:col>
                <xdr:colOff>123825</xdr:colOff>
                <xdr:row>60</xdr:row>
                <xdr:rowOff>104775</xdr:rowOff>
              </to>
            </anchor>
          </objectPr>
        </oleObject>
      </mc:Choice>
      <mc:Fallback>
        <oleObject progId="Equation.3" shapeId="6149" r:id="rId8"/>
      </mc:Fallback>
    </mc:AlternateContent>
    <mc:AlternateContent xmlns:mc="http://schemas.openxmlformats.org/markup-compatibility/2006">
      <mc:Choice Requires="x14">
        <oleObject progId="Equation.3" shapeId="6151" r:id="rId10">
          <objectPr defaultSize="0" autoPict="0" r:id="rId11">
            <anchor moveWithCells="1" sizeWithCells="1">
              <from>
                <xdr:col>3</xdr:col>
                <xdr:colOff>85725</xdr:colOff>
                <xdr:row>62</xdr:row>
                <xdr:rowOff>38100</xdr:rowOff>
              </from>
              <to>
                <xdr:col>4</xdr:col>
                <xdr:colOff>161925</xdr:colOff>
                <xdr:row>64</xdr:row>
                <xdr:rowOff>66675</xdr:rowOff>
              </to>
            </anchor>
          </objectPr>
        </oleObject>
      </mc:Choice>
      <mc:Fallback>
        <oleObject progId="Equation.3" shapeId="6151" r:id="rId10"/>
      </mc:Fallback>
    </mc:AlternateContent>
    <mc:AlternateContent xmlns:mc="http://schemas.openxmlformats.org/markup-compatibility/2006">
      <mc:Choice Requires="x14">
        <oleObject progId="Equation.3" shapeId="6153" r:id="rId12">
          <objectPr defaultSize="0" autoPict="0" r:id="rId13">
            <anchor moveWithCells="1" sizeWithCells="1">
              <from>
                <xdr:col>3</xdr:col>
                <xdr:colOff>57150</xdr:colOff>
                <xdr:row>74</xdr:row>
                <xdr:rowOff>0</xdr:rowOff>
              </from>
              <to>
                <xdr:col>4</xdr:col>
                <xdr:colOff>638175</xdr:colOff>
                <xdr:row>74</xdr:row>
                <xdr:rowOff>0</xdr:rowOff>
              </to>
            </anchor>
          </objectPr>
        </oleObject>
      </mc:Choice>
      <mc:Fallback>
        <oleObject progId="Equation.3" shapeId="6153" r:id="rId12"/>
      </mc:Fallback>
    </mc:AlternateContent>
    <mc:AlternateContent xmlns:mc="http://schemas.openxmlformats.org/markup-compatibility/2006">
      <mc:Choice Requires="x14">
        <oleObject progId="Equation.3" shapeId="6158" r:id="rId14">
          <objectPr defaultSize="0" autoPict="0" r:id="rId15">
            <anchor moveWithCells="1" sizeWithCells="1">
              <from>
                <xdr:col>5</xdr:col>
                <xdr:colOff>247650</xdr:colOff>
                <xdr:row>95</xdr:row>
                <xdr:rowOff>0</xdr:rowOff>
              </from>
              <to>
                <xdr:col>8</xdr:col>
                <xdr:colOff>57150</xdr:colOff>
                <xdr:row>95</xdr:row>
                <xdr:rowOff>0</xdr:rowOff>
              </to>
            </anchor>
          </objectPr>
        </oleObject>
      </mc:Choice>
      <mc:Fallback>
        <oleObject progId="Equation.3" shapeId="6158" r:id="rId14"/>
      </mc:Fallback>
    </mc:AlternateContent>
    <mc:AlternateContent xmlns:mc="http://schemas.openxmlformats.org/markup-compatibility/2006">
      <mc:Choice Requires="x14">
        <oleObject progId="Equation.3" shapeId="6165" r:id="rId16">
          <objectPr defaultSize="0" autoPict="0" r:id="rId9">
            <anchor moveWithCells="1" sizeWithCells="1">
              <from>
                <xdr:col>2</xdr:col>
                <xdr:colOff>19050</xdr:colOff>
                <xdr:row>74</xdr:row>
                <xdr:rowOff>0</xdr:rowOff>
              </from>
              <to>
                <xdr:col>3</xdr:col>
                <xdr:colOff>228600</xdr:colOff>
                <xdr:row>74</xdr:row>
                <xdr:rowOff>0</xdr:rowOff>
              </to>
            </anchor>
          </objectPr>
        </oleObject>
      </mc:Choice>
      <mc:Fallback>
        <oleObject progId="Equation.3" shapeId="6165" r:id="rId16"/>
      </mc:Fallback>
    </mc:AlternateContent>
    <mc:AlternateContent xmlns:mc="http://schemas.openxmlformats.org/markup-compatibility/2006">
      <mc:Choice Requires="x14">
        <oleObject progId="Equation.3" shapeId="6166" r:id="rId17">
          <objectPr defaultSize="0" autoPict="0" r:id="rId11">
            <anchor moveWithCells="1" sizeWithCells="1">
              <from>
                <xdr:col>3</xdr:col>
                <xdr:colOff>85725</xdr:colOff>
                <xdr:row>74</xdr:row>
                <xdr:rowOff>0</xdr:rowOff>
              </from>
              <to>
                <xdr:col>4</xdr:col>
                <xdr:colOff>161925</xdr:colOff>
                <xdr:row>74</xdr:row>
                <xdr:rowOff>0</xdr:rowOff>
              </to>
            </anchor>
          </objectPr>
        </oleObject>
      </mc:Choice>
      <mc:Fallback>
        <oleObject progId="Equation.3" shapeId="6166" r:id="rId17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67"/>
  <sheetViews>
    <sheetView topLeftCell="A60" zoomScale="148" zoomScaleNormal="148" workbookViewId="0">
      <selection activeCell="B15" sqref="B15"/>
    </sheetView>
  </sheetViews>
  <sheetFormatPr defaultRowHeight="14.25"/>
  <cols>
    <col min="4" max="4" width="9.25" bestFit="1" customWidth="1"/>
  </cols>
  <sheetData>
    <row r="1" spans="2:12" ht="15">
      <c r="B1" s="24" t="s">
        <v>85</v>
      </c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2:12" ht="15">
      <c r="B2" s="24" t="s">
        <v>111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2:12">
      <c r="D4" s="30" t="s">
        <v>37</v>
      </c>
      <c r="E4" s="30" t="s">
        <v>38</v>
      </c>
      <c r="F4" s="30" t="s">
        <v>39</v>
      </c>
      <c r="G4" s="30" t="s">
        <v>40</v>
      </c>
      <c r="H4" s="30" t="s">
        <v>41</v>
      </c>
      <c r="I4" s="30" t="s">
        <v>42</v>
      </c>
    </row>
    <row r="5" spans="2:12">
      <c r="B5" t="s">
        <v>8</v>
      </c>
      <c r="D5" s="41">
        <v>0.55000000000000004</v>
      </c>
      <c r="E5" s="41">
        <v>0.87</v>
      </c>
      <c r="F5" s="41">
        <v>0.85</v>
      </c>
      <c r="G5" s="41">
        <v>0.47</v>
      </c>
      <c r="H5" s="41">
        <v>0.45</v>
      </c>
      <c r="I5" s="41">
        <v>0.65</v>
      </c>
    </row>
    <row r="7" spans="2:12">
      <c r="B7" t="s">
        <v>7</v>
      </c>
      <c r="D7">
        <v>1</v>
      </c>
      <c r="E7">
        <v>0.34</v>
      </c>
      <c r="F7">
        <v>0.56000000000000005</v>
      </c>
      <c r="G7">
        <v>0.21</v>
      </c>
      <c r="H7">
        <v>0.98</v>
      </c>
      <c r="I7">
        <v>-0.4</v>
      </c>
    </row>
    <row r="8" spans="2:12">
      <c r="D8">
        <v>0.34</v>
      </c>
      <c r="E8">
        <v>1</v>
      </c>
      <c r="F8">
        <v>0.55000000000000004</v>
      </c>
      <c r="G8">
        <v>0.45</v>
      </c>
      <c r="H8">
        <v>0.8</v>
      </c>
      <c r="I8">
        <v>0.5</v>
      </c>
    </row>
    <row r="9" spans="2:12">
      <c r="D9">
        <v>0.56000000000000005</v>
      </c>
      <c r="E9">
        <v>0.55000000000000004</v>
      </c>
      <c r="F9">
        <v>1</v>
      </c>
      <c r="G9">
        <v>-0.32</v>
      </c>
      <c r="H9">
        <v>0.4</v>
      </c>
      <c r="I9">
        <v>0.11</v>
      </c>
    </row>
    <row r="10" spans="2:12">
      <c r="D10">
        <v>0.21</v>
      </c>
      <c r="E10">
        <v>0.45</v>
      </c>
      <c r="F10">
        <v>-0.32</v>
      </c>
      <c r="G10">
        <v>1</v>
      </c>
      <c r="H10">
        <v>-0.2</v>
      </c>
      <c r="I10">
        <v>0.5</v>
      </c>
    </row>
    <row r="11" spans="2:12">
      <c r="D11">
        <v>0.98</v>
      </c>
      <c r="E11">
        <v>0.8</v>
      </c>
      <c r="F11">
        <v>0.4</v>
      </c>
      <c r="G11">
        <v>-0.2</v>
      </c>
      <c r="H11">
        <v>1</v>
      </c>
      <c r="I11">
        <v>0.8</v>
      </c>
    </row>
    <row r="12" spans="2:12">
      <c r="D12">
        <v>-0.4</v>
      </c>
      <c r="E12">
        <v>0.5</v>
      </c>
      <c r="F12">
        <v>0.11</v>
      </c>
      <c r="G12">
        <v>0.5</v>
      </c>
      <c r="H12">
        <v>0.8</v>
      </c>
      <c r="I12">
        <v>1</v>
      </c>
    </row>
    <row r="14" spans="2:12" ht="15">
      <c r="B14" s="28" t="s">
        <v>130</v>
      </c>
      <c r="C14" s="20">
        <v>0.5</v>
      </c>
      <c r="D14" s="24"/>
      <c r="E14" s="24"/>
      <c r="F14" s="24"/>
      <c r="G14" s="24"/>
      <c r="H14" s="24"/>
      <c r="I14" s="24"/>
    </row>
    <row r="16" spans="2:12" ht="15">
      <c r="B16" s="24" t="s">
        <v>97</v>
      </c>
      <c r="C16" s="24"/>
      <c r="D16" s="24"/>
      <c r="E16" s="24"/>
      <c r="F16" s="24"/>
      <c r="G16" s="24"/>
    </row>
    <row r="18" spans="2:10">
      <c r="B18" t="s">
        <v>31</v>
      </c>
      <c r="D18" s="42">
        <f>ABS(D7)</f>
        <v>1</v>
      </c>
      <c r="E18" s="42">
        <f t="shared" ref="E18:I18" si="0">ABS(E7)</f>
        <v>0.34</v>
      </c>
      <c r="F18" s="42">
        <f t="shared" si="0"/>
        <v>0.56000000000000005</v>
      </c>
      <c r="G18" s="42">
        <f t="shared" si="0"/>
        <v>0.21</v>
      </c>
      <c r="H18" s="42">
        <f t="shared" si="0"/>
        <v>0.98</v>
      </c>
      <c r="I18" s="42">
        <f t="shared" si="0"/>
        <v>0.4</v>
      </c>
    </row>
    <row r="19" spans="2:10">
      <c r="D19" s="42">
        <f t="shared" ref="D19:I19" si="1">ABS(D8)</f>
        <v>0.34</v>
      </c>
      <c r="E19" s="42">
        <f t="shared" si="1"/>
        <v>1</v>
      </c>
      <c r="F19" s="42">
        <f t="shared" si="1"/>
        <v>0.55000000000000004</v>
      </c>
      <c r="G19" s="42">
        <f t="shared" si="1"/>
        <v>0.45</v>
      </c>
      <c r="H19" s="42">
        <f t="shared" si="1"/>
        <v>0.8</v>
      </c>
      <c r="I19" s="42">
        <f t="shared" si="1"/>
        <v>0.5</v>
      </c>
    </row>
    <row r="20" spans="2:10">
      <c r="D20" s="42">
        <f t="shared" ref="D20:I20" si="2">ABS(D9)</f>
        <v>0.56000000000000005</v>
      </c>
      <c r="E20" s="42">
        <f t="shared" si="2"/>
        <v>0.55000000000000004</v>
      </c>
      <c r="F20" s="42">
        <f t="shared" si="2"/>
        <v>1</v>
      </c>
      <c r="G20" s="42">
        <f t="shared" si="2"/>
        <v>0.32</v>
      </c>
      <c r="H20" s="42">
        <f t="shared" si="2"/>
        <v>0.4</v>
      </c>
      <c r="I20" s="42">
        <f t="shared" si="2"/>
        <v>0.11</v>
      </c>
    </row>
    <row r="21" spans="2:10">
      <c r="D21" s="42">
        <f t="shared" ref="D21:I21" si="3">ABS(D10)</f>
        <v>0.21</v>
      </c>
      <c r="E21" s="42">
        <f t="shared" si="3"/>
        <v>0.45</v>
      </c>
      <c r="F21" s="42">
        <f t="shared" si="3"/>
        <v>0.32</v>
      </c>
      <c r="G21" s="42">
        <f t="shared" si="3"/>
        <v>1</v>
      </c>
      <c r="H21" s="42">
        <f t="shared" si="3"/>
        <v>0.2</v>
      </c>
      <c r="I21" s="42">
        <f t="shared" si="3"/>
        <v>0.5</v>
      </c>
    </row>
    <row r="22" spans="2:10">
      <c r="D22" s="42">
        <f t="shared" ref="D22:I22" si="4">ABS(D11)</f>
        <v>0.98</v>
      </c>
      <c r="E22" s="42">
        <f t="shared" si="4"/>
        <v>0.8</v>
      </c>
      <c r="F22" s="42">
        <f t="shared" si="4"/>
        <v>0.4</v>
      </c>
      <c r="G22" s="42">
        <f t="shared" si="4"/>
        <v>0.2</v>
      </c>
      <c r="H22" s="42">
        <f t="shared" si="4"/>
        <v>1</v>
      </c>
      <c r="I22" s="42">
        <f t="shared" si="4"/>
        <v>0.8</v>
      </c>
    </row>
    <row r="23" spans="2:10">
      <c r="D23" s="42">
        <f t="shared" ref="D23:I23" si="5">ABS(D12)</f>
        <v>0.4</v>
      </c>
      <c r="E23" s="42">
        <f t="shared" si="5"/>
        <v>0.5</v>
      </c>
      <c r="F23" s="42">
        <f t="shared" si="5"/>
        <v>0.11</v>
      </c>
      <c r="G23" s="42">
        <f t="shared" si="5"/>
        <v>0.5</v>
      </c>
      <c r="H23" s="42">
        <f t="shared" si="5"/>
        <v>0.8</v>
      </c>
      <c r="I23" s="42">
        <f t="shared" si="5"/>
        <v>1</v>
      </c>
    </row>
    <row r="26" spans="2:10" ht="15">
      <c r="B26" s="24" t="s">
        <v>32</v>
      </c>
    </row>
    <row r="27" spans="2:10">
      <c r="J27" t="s">
        <v>33</v>
      </c>
    </row>
    <row r="28" spans="2:10">
      <c r="D28" s="41">
        <f t="shared" ref="D28:I28" si="6">IF(D5&gt;$C$14,D5,0)</f>
        <v>0.55000000000000004</v>
      </c>
      <c r="E28" s="41">
        <f t="shared" si="6"/>
        <v>0.87</v>
      </c>
      <c r="F28" s="41">
        <f t="shared" si="6"/>
        <v>0.85</v>
      </c>
      <c r="G28" s="41">
        <f t="shared" si="6"/>
        <v>0</v>
      </c>
      <c r="H28" s="41">
        <f t="shared" si="6"/>
        <v>0</v>
      </c>
      <c r="I28" s="41">
        <f t="shared" si="6"/>
        <v>0.65</v>
      </c>
      <c r="J28">
        <f>MAX(D28:I28)</f>
        <v>0.87</v>
      </c>
    </row>
    <row r="29" spans="2:10">
      <c r="D29" t="str">
        <f>IF(D28=0,"usuwamy","zostaje")</f>
        <v>zostaje</v>
      </c>
      <c r="E29" t="str">
        <f t="shared" ref="E29:I29" si="7">IF(E28=0,"usuwamy","zostaje")</f>
        <v>zostaje</v>
      </c>
      <c r="F29" t="str">
        <f t="shared" si="7"/>
        <v>zostaje</v>
      </c>
      <c r="G29" t="str">
        <f t="shared" si="7"/>
        <v>usuwamy</v>
      </c>
      <c r="H29" t="str">
        <f t="shared" si="7"/>
        <v>usuwamy</v>
      </c>
      <c r="I29" t="str">
        <f t="shared" si="7"/>
        <v>zostaje</v>
      </c>
    </row>
    <row r="32" spans="2:10" ht="15">
      <c r="B32" s="24" t="s">
        <v>34</v>
      </c>
    </row>
    <row r="34" spans="2:11" ht="15">
      <c r="C34" s="19" t="s">
        <v>96</v>
      </c>
    </row>
    <row r="36" spans="2:11" ht="15">
      <c r="B36" s="24" t="s">
        <v>35</v>
      </c>
    </row>
    <row r="38" spans="2:11">
      <c r="D38" s="30" t="s">
        <v>37</v>
      </c>
      <c r="E38" s="30" t="s">
        <v>38</v>
      </c>
      <c r="F38" s="30" t="s">
        <v>39</v>
      </c>
      <c r="G38" s="30" t="s">
        <v>40</v>
      </c>
      <c r="H38" s="30" t="s">
        <v>41</v>
      </c>
      <c r="I38" s="30" t="s">
        <v>42</v>
      </c>
    </row>
    <row r="39" spans="2:11">
      <c r="C39" s="20" t="s">
        <v>36</v>
      </c>
      <c r="D39" s="43">
        <f>D19</f>
        <v>0.34</v>
      </c>
      <c r="E39" s="43"/>
      <c r="F39" s="43">
        <f t="shared" ref="F39:I39" si="8">F19</f>
        <v>0.55000000000000004</v>
      </c>
      <c r="G39" s="42"/>
      <c r="H39" s="42"/>
      <c r="I39" s="42">
        <f t="shared" si="8"/>
        <v>0.5</v>
      </c>
    </row>
    <row r="40" spans="2:11">
      <c r="D40" t="str">
        <f>IF(D39&gt;$C$14,"usuwamy","zostaje")</f>
        <v>zostaje</v>
      </c>
      <c r="F40" t="str">
        <f t="shared" ref="F40:I40" si="9">IF(F39&gt;$C$14,"usuwamy","zostaje")</f>
        <v>usuwamy</v>
      </c>
      <c r="I40" t="str">
        <f t="shared" si="9"/>
        <v>zostaje</v>
      </c>
    </row>
    <row r="43" spans="2:11" ht="15">
      <c r="B43" s="24" t="s">
        <v>79</v>
      </c>
      <c r="E43" s="19" t="s">
        <v>80</v>
      </c>
      <c r="K43" s="1" t="s">
        <v>112</v>
      </c>
    </row>
    <row r="46" spans="2:11" ht="15">
      <c r="B46" s="24" t="s">
        <v>99</v>
      </c>
    </row>
    <row r="48" spans="2:11" ht="15" thickBot="1">
      <c r="D48" s="49" t="s">
        <v>37</v>
      </c>
      <c r="E48" s="49" t="s">
        <v>42</v>
      </c>
    </row>
    <row r="49" spans="2:7">
      <c r="C49" s="34" t="s">
        <v>8</v>
      </c>
      <c r="D49" s="47">
        <f>D5</f>
        <v>0.55000000000000004</v>
      </c>
      <c r="E49" s="48">
        <f>I5</f>
        <v>0.65</v>
      </c>
      <c r="F49">
        <f>MAX(D49:E49)</f>
        <v>0.65</v>
      </c>
      <c r="G49" t="s">
        <v>33</v>
      </c>
    </row>
    <row r="50" spans="2:7">
      <c r="C50" s="35"/>
      <c r="E50" s="36"/>
    </row>
    <row r="51" spans="2:7">
      <c r="C51" s="35" t="s">
        <v>31</v>
      </c>
      <c r="D51" s="42">
        <v>1</v>
      </c>
      <c r="E51" s="44">
        <f>I18</f>
        <v>0.4</v>
      </c>
    </row>
    <row r="52" spans="2:7" ht="15" thickBot="1">
      <c r="C52" s="37"/>
      <c r="D52" s="45">
        <f>D23</f>
        <v>0.4</v>
      </c>
      <c r="E52" s="46">
        <v>1</v>
      </c>
    </row>
    <row r="53" spans="2:7" ht="15">
      <c r="C53" s="19" t="s">
        <v>100</v>
      </c>
    </row>
    <row r="56" spans="2:7" ht="15">
      <c r="B56" s="24" t="s">
        <v>43</v>
      </c>
    </row>
    <row r="58" spans="2:7">
      <c r="D58" s="42">
        <f>D52</f>
        <v>0.4</v>
      </c>
      <c r="E58" t="s">
        <v>83</v>
      </c>
    </row>
    <row r="59" spans="2:7">
      <c r="D59" s="29" t="str">
        <f>IF(D58&gt;$C$14,"usuwamy","zostaje")</f>
        <v>zostaje</v>
      </c>
    </row>
    <row r="61" spans="2:7" ht="15">
      <c r="B61" s="24" t="s">
        <v>44</v>
      </c>
    </row>
    <row r="63" spans="2:7" ht="15">
      <c r="C63" s="19" t="s">
        <v>101</v>
      </c>
    </row>
    <row r="65" spans="2:3" ht="15">
      <c r="B65" s="24" t="s">
        <v>45</v>
      </c>
    </row>
    <row r="67" spans="2:3" ht="15">
      <c r="C67" s="19" t="s">
        <v>102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7169" r:id="rId4">
          <objectPr defaultSize="0" autoPict="0" r:id="rId5">
            <anchor moveWithCells="1" sizeWithCells="1">
              <from>
                <xdr:col>5</xdr:col>
                <xdr:colOff>257175</xdr:colOff>
                <xdr:row>24</xdr:row>
                <xdr:rowOff>114300</xdr:rowOff>
              </from>
              <to>
                <xdr:col>6</xdr:col>
                <xdr:colOff>180975</xdr:colOff>
                <xdr:row>26</xdr:row>
                <xdr:rowOff>85725</xdr:rowOff>
              </to>
            </anchor>
          </objectPr>
        </oleObject>
      </mc:Choice>
      <mc:Fallback>
        <oleObject progId="Equation.3" shapeId="7169" r:id="rId4"/>
      </mc:Fallback>
    </mc:AlternateContent>
    <mc:AlternateContent xmlns:mc="http://schemas.openxmlformats.org/markup-compatibility/2006">
      <mc:Choice Requires="x14">
        <oleObject progId="Equation.3" shapeId="7170" r:id="rId6">
          <objectPr defaultSize="0" autoPict="0" r:id="rId7">
            <anchor moveWithCells="1" sizeWithCells="1">
              <from>
                <xdr:col>4</xdr:col>
                <xdr:colOff>485775</xdr:colOff>
                <xdr:row>30</xdr:row>
                <xdr:rowOff>85725</xdr:rowOff>
              </from>
              <to>
                <xdr:col>6</xdr:col>
                <xdr:colOff>9525</xdr:colOff>
                <xdr:row>32</xdr:row>
                <xdr:rowOff>66675</xdr:rowOff>
              </to>
            </anchor>
          </objectPr>
        </oleObject>
      </mc:Choice>
      <mc:Fallback>
        <oleObject progId="Equation.3" shapeId="7170" r:id="rId6"/>
      </mc:Fallback>
    </mc:AlternateContent>
    <mc:AlternateContent xmlns:mc="http://schemas.openxmlformats.org/markup-compatibility/2006">
      <mc:Choice Requires="x14">
        <oleObject progId="Equation.3" shapeId="7171" r:id="rId8">
          <objectPr defaultSize="0" autoPict="0" r:id="rId9">
            <anchor moveWithCells="1" sizeWithCells="1">
              <from>
                <xdr:col>5</xdr:col>
                <xdr:colOff>485775</xdr:colOff>
                <xdr:row>34</xdr:row>
                <xdr:rowOff>114300</xdr:rowOff>
              </from>
              <to>
                <xdr:col>6</xdr:col>
                <xdr:colOff>561975</xdr:colOff>
                <xdr:row>36</xdr:row>
                <xdr:rowOff>104775</xdr:rowOff>
              </to>
            </anchor>
          </objectPr>
        </oleObject>
      </mc:Choice>
      <mc:Fallback>
        <oleObject progId="Equation.3" shapeId="7171" r:id="rId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21" workbookViewId="0">
      <selection activeCell="I14" sqref="I14"/>
    </sheetView>
  </sheetViews>
  <sheetFormatPr defaultRowHeight="14.25"/>
  <cols>
    <col min="2" max="2" width="11.625" style="30" customWidth="1"/>
    <col min="3" max="3" width="11.625" customWidth="1"/>
    <col min="4" max="4" width="9.25" bestFit="1" customWidth="1"/>
  </cols>
  <sheetData>
    <row r="1" spans="1:9" ht="15">
      <c r="A1" s="24" t="s">
        <v>46</v>
      </c>
      <c r="C1" s="19" t="s">
        <v>47</v>
      </c>
    </row>
    <row r="2" spans="1:9" ht="15">
      <c r="A2" s="24"/>
      <c r="C2" s="19"/>
    </row>
    <row r="3" spans="1:9" ht="15">
      <c r="A3" s="24"/>
      <c r="C3" s="19"/>
    </row>
    <row r="4" spans="1:9">
      <c r="D4" s="23" t="s">
        <v>37</v>
      </c>
      <c r="E4" s="23" t="s">
        <v>38</v>
      </c>
      <c r="F4" s="23" t="s">
        <v>39</v>
      </c>
      <c r="G4" s="23" t="s">
        <v>40</v>
      </c>
      <c r="H4" s="23" t="s">
        <v>41</v>
      </c>
      <c r="I4" s="23" t="s">
        <v>42</v>
      </c>
    </row>
    <row r="5" spans="1:9" ht="15">
      <c r="C5" s="24" t="s">
        <v>8</v>
      </c>
      <c r="D5" s="51">
        <v>0.55000000000000004</v>
      </c>
      <c r="E5" s="51">
        <v>0.87</v>
      </c>
      <c r="F5" s="51">
        <v>0.85</v>
      </c>
      <c r="G5" s="51">
        <v>0.47</v>
      </c>
      <c r="H5" s="51">
        <v>0.45</v>
      </c>
      <c r="I5" s="51">
        <v>0.65</v>
      </c>
    </row>
    <row r="9" spans="1:9">
      <c r="D9" s="50">
        <v>1</v>
      </c>
      <c r="E9" s="50">
        <v>0.34</v>
      </c>
      <c r="F9" s="50">
        <v>0.56000000000000005</v>
      </c>
      <c r="G9" s="50">
        <v>0.21</v>
      </c>
      <c r="H9" s="50">
        <v>0.98</v>
      </c>
      <c r="I9" s="50">
        <v>0.4</v>
      </c>
    </row>
    <row r="10" spans="1:9">
      <c r="D10" s="50">
        <v>0.34</v>
      </c>
      <c r="E10" s="50">
        <v>1</v>
      </c>
      <c r="F10" s="50">
        <v>0.55000000000000004</v>
      </c>
      <c r="G10" s="50">
        <v>0.45</v>
      </c>
      <c r="H10" s="50">
        <v>0.8</v>
      </c>
      <c r="I10" s="50">
        <v>0.5</v>
      </c>
    </row>
    <row r="11" spans="1:9" ht="15">
      <c r="C11" s="24" t="s">
        <v>7</v>
      </c>
      <c r="D11" s="50">
        <v>0.56000000000000005</v>
      </c>
      <c r="E11" s="50">
        <v>0.55000000000000004</v>
      </c>
      <c r="F11" s="50">
        <v>1</v>
      </c>
      <c r="G11" s="50">
        <v>0.32</v>
      </c>
      <c r="H11" s="50">
        <v>0.4</v>
      </c>
      <c r="I11" s="50">
        <v>0.11</v>
      </c>
    </row>
    <row r="12" spans="1:9">
      <c r="D12" s="50">
        <v>0.21</v>
      </c>
      <c r="E12" s="50">
        <v>0.45</v>
      </c>
      <c r="F12" s="50">
        <v>0.32</v>
      </c>
      <c r="G12" s="50">
        <v>1</v>
      </c>
      <c r="H12" s="50">
        <v>0.2</v>
      </c>
      <c r="I12" s="50">
        <v>0.5</v>
      </c>
    </row>
    <row r="13" spans="1:9">
      <c r="D13" s="50">
        <v>0.98</v>
      </c>
      <c r="E13" s="50">
        <v>0.8</v>
      </c>
      <c r="F13" s="50">
        <v>0.4</v>
      </c>
      <c r="G13" s="50">
        <v>0.2</v>
      </c>
      <c r="H13" s="50">
        <v>1</v>
      </c>
      <c r="I13" s="50">
        <v>0.8</v>
      </c>
    </row>
    <row r="14" spans="1:9">
      <c r="D14" s="50">
        <v>0.4</v>
      </c>
      <c r="E14" s="50">
        <v>0.5</v>
      </c>
      <c r="F14" s="50">
        <v>0.11</v>
      </c>
      <c r="G14" s="50">
        <v>0.5</v>
      </c>
      <c r="H14" s="50">
        <v>0.8</v>
      </c>
      <c r="I14" s="50">
        <v>1</v>
      </c>
    </row>
    <row r="18" spans="2:17" ht="15">
      <c r="B18" s="31" t="s">
        <v>48</v>
      </c>
      <c r="F18" s="24" t="s">
        <v>51</v>
      </c>
      <c r="G18" s="24"/>
      <c r="H18" s="24">
        <f>COMBIN(6,3)</f>
        <v>20</v>
      </c>
    </row>
    <row r="20" spans="2:17">
      <c r="B20" s="30" t="s">
        <v>49</v>
      </c>
      <c r="C20" t="s">
        <v>50</v>
      </c>
      <c r="D20" t="s">
        <v>72</v>
      </c>
      <c r="F20" s="14" t="s">
        <v>73</v>
      </c>
      <c r="G20">
        <v>1</v>
      </c>
      <c r="H20">
        <v>0.34</v>
      </c>
      <c r="I20">
        <v>0.56000000000000005</v>
      </c>
      <c r="J20" s="14" t="s">
        <v>74</v>
      </c>
      <c r="K20">
        <v>1</v>
      </c>
      <c r="L20">
        <v>0.34</v>
      </c>
      <c r="M20">
        <f>G9</f>
        <v>0.21</v>
      </c>
      <c r="N20" s="14" t="s">
        <v>75</v>
      </c>
      <c r="O20">
        <v>1</v>
      </c>
      <c r="P20">
        <v>0.34</v>
      </c>
      <c r="Q20">
        <f>H9</f>
        <v>0.98</v>
      </c>
    </row>
    <row r="21" spans="2:17">
      <c r="B21" s="30">
        <v>1</v>
      </c>
      <c r="C21" t="s">
        <v>52</v>
      </c>
      <c r="D21">
        <f>ABS(MDETERM(G20:I22))</f>
        <v>0.47773999999999983</v>
      </c>
      <c r="G21">
        <v>0.34</v>
      </c>
      <c r="H21">
        <v>1</v>
      </c>
      <c r="I21">
        <v>0.55000000000000004</v>
      </c>
      <c r="K21">
        <v>0.34</v>
      </c>
      <c r="L21">
        <v>1</v>
      </c>
      <c r="M21">
        <f>G10</f>
        <v>0.45</v>
      </c>
      <c r="O21">
        <v>0.34</v>
      </c>
      <c r="P21">
        <v>1</v>
      </c>
      <c r="Q21">
        <f t="shared" ref="Q21" si="0">H10</f>
        <v>0.8</v>
      </c>
    </row>
    <row r="22" spans="2:17">
      <c r="B22" s="30">
        <v>2</v>
      </c>
      <c r="C22" t="s">
        <v>53</v>
      </c>
      <c r="D22">
        <f>ABS(MDETERM(K20:M22))</f>
        <v>0.70205999999999991</v>
      </c>
      <c r="G22">
        <v>0.56000000000000005</v>
      </c>
      <c r="H22">
        <v>0.55000000000000004</v>
      </c>
      <c r="I22">
        <v>1</v>
      </c>
      <c r="K22">
        <f>D12</f>
        <v>0.21</v>
      </c>
      <c r="L22">
        <f>E12</f>
        <v>0.45</v>
      </c>
      <c r="M22">
        <f>G12</f>
        <v>1</v>
      </c>
      <c r="O22">
        <f>D13</f>
        <v>0.98</v>
      </c>
      <c r="P22">
        <f>E13</f>
        <v>0.8</v>
      </c>
      <c r="Q22">
        <f>H13</f>
        <v>1</v>
      </c>
    </row>
    <row r="23" spans="2:17">
      <c r="B23" s="30">
        <v>3</v>
      </c>
      <c r="C23" t="s">
        <v>54</v>
      </c>
      <c r="D23">
        <f>ABS(MDETERM(O20:Q22))</f>
        <v>0.18287999999999996</v>
      </c>
    </row>
    <row r="24" spans="2:17">
      <c r="B24" s="30">
        <v>4</v>
      </c>
      <c r="C24" t="s">
        <v>55</v>
      </c>
      <c r="D24">
        <f>ABS(MDETERM(G24:I26))</f>
        <v>0.61039999999999994</v>
      </c>
      <c r="F24" s="14" t="s">
        <v>76</v>
      </c>
      <c r="G24">
        <v>1</v>
      </c>
      <c r="H24">
        <v>0.34</v>
      </c>
      <c r="I24">
        <f>I9</f>
        <v>0.4</v>
      </c>
      <c r="J24" s="14" t="s">
        <v>77</v>
      </c>
      <c r="K24">
        <v>1</v>
      </c>
      <c r="L24">
        <f>$F$9</f>
        <v>0.56000000000000005</v>
      </c>
      <c r="M24">
        <f>$G$9</f>
        <v>0.21</v>
      </c>
      <c r="N24" s="14" t="s">
        <v>78</v>
      </c>
      <c r="O24">
        <v>1</v>
      </c>
      <c r="P24">
        <f>$F$9</f>
        <v>0.56000000000000005</v>
      </c>
      <c r="Q24">
        <f>H9</f>
        <v>0.98</v>
      </c>
    </row>
    <row r="25" spans="2:17">
      <c r="B25" s="30">
        <v>5</v>
      </c>
      <c r="C25" t="s">
        <v>56</v>
      </c>
      <c r="D25">
        <f>ABS(MDETERM(K24:M26))</f>
        <v>0.61516399999999993</v>
      </c>
      <c r="G25">
        <v>0.34</v>
      </c>
      <c r="H25">
        <v>1</v>
      </c>
      <c r="I25">
        <f t="shared" ref="I25" si="1">I10</f>
        <v>0.5</v>
      </c>
      <c r="K25">
        <f>$D$11</f>
        <v>0.56000000000000005</v>
      </c>
      <c r="L25">
        <v>1</v>
      </c>
      <c r="M25">
        <v>0.32</v>
      </c>
      <c r="O25">
        <f>$D$11</f>
        <v>0.56000000000000005</v>
      </c>
      <c r="P25">
        <v>1</v>
      </c>
      <c r="Q25">
        <f>H11</f>
        <v>0.4</v>
      </c>
    </row>
    <row r="26" spans="2:17">
      <c r="B26" s="30">
        <v>6</v>
      </c>
      <c r="C26" t="s">
        <v>57</v>
      </c>
      <c r="D26">
        <f>ABS(MDETERM(O24:Q26))</f>
        <v>5.0400000000000375E-3</v>
      </c>
      <c r="G26">
        <f>D14</f>
        <v>0.4</v>
      </c>
      <c r="H26">
        <f>E14</f>
        <v>0.5</v>
      </c>
      <c r="I26">
        <f>I14</f>
        <v>1</v>
      </c>
      <c r="K26">
        <f>$D$12</f>
        <v>0.21</v>
      </c>
      <c r="L26">
        <v>0.32</v>
      </c>
      <c r="M26">
        <v>1</v>
      </c>
      <c r="O26">
        <f>D13</f>
        <v>0.98</v>
      </c>
      <c r="P26">
        <f>F13</f>
        <v>0.4</v>
      </c>
      <c r="Q26">
        <f>H13</f>
        <v>1</v>
      </c>
    </row>
    <row r="27" spans="2:17">
      <c r="B27" s="30">
        <v>7</v>
      </c>
      <c r="C27" t="s">
        <v>58</v>
      </c>
    </row>
    <row r="28" spans="2:17">
      <c r="B28" s="30">
        <v>8</v>
      </c>
      <c r="C28" t="s">
        <v>59</v>
      </c>
      <c r="E28" s="52" t="s">
        <v>84</v>
      </c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</row>
    <row r="29" spans="2:17">
      <c r="B29" s="30">
        <v>9</v>
      </c>
      <c r="C29" t="s">
        <v>60</v>
      </c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</row>
    <row r="30" spans="2:17">
      <c r="B30" s="30">
        <v>10</v>
      </c>
      <c r="C30" t="s">
        <v>61</v>
      </c>
      <c r="E30" t="s">
        <v>113</v>
      </c>
    </row>
    <row r="31" spans="2:17">
      <c r="B31" s="30">
        <v>11</v>
      </c>
      <c r="C31" t="s">
        <v>62</v>
      </c>
    </row>
    <row r="32" spans="2:17">
      <c r="B32" s="30">
        <v>12</v>
      </c>
      <c r="C32" t="s">
        <v>63</v>
      </c>
    </row>
    <row r="33" spans="2:4">
      <c r="B33" s="30">
        <v>13</v>
      </c>
      <c r="C33" t="s">
        <v>64</v>
      </c>
    </row>
    <row r="34" spans="2:4">
      <c r="B34" s="30">
        <v>14</v>
      </c>
      <c r="C34" t="s">
        <v>65</v>
      </c>
    </row>
    <row r="35" spans="2:4">
      <c r="B35" s="30">
        <v>15</v>
      </c>
      <c r="C35" t="s">
        <v>66</v>
      </c>
    </row>
    <row r="36" spans="2:4">
      <c r="B36" s="30">
        <v>16</v>
      </c>
      <c r="C36" t="s">
        <v>67</v>
      </c>
    </row>
    <row r="37" spans="2:4">
      <c r="B37" s="30">
        <v>17</v>
      </c>
      <c r="C37" t="s">
        <v>68</v>
      </c>
    </row>
    <row r="38" spans="2:4">
      <c r="B38" s="30">
        <v>18</v>
      </c>
      <c r="C38" t="s">
        <v>69</v>
      </c>
    </row>
    <row r="39" spans="2:4">
      <c r="B39" s="30">
        <v>19</v>
      </c>
      <c r="C39" t="s">
        <v>71</v>
      </c>
    </row>
    <row r="40" spans="2:4">
      <c r="B40" s="30">
        <v>20</v>
      </c>
      <c r="C40" t="s">
        <v>70</v>
      </c>
    </row>
    <row r="42" spans="2:4">
      <c r="C42" t="s">
        <v>33</v>
      </c>
      <c r="D42">
        <f>MAX(D21:D40)</f>
        <v>0.70205999999999991</v>
      </c>
    </row>
  </sheetData>
  <mergeCells count="1">
    <mergeCell ref="E28:P2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5"/>
  <sheetViews>
    <sheetView workbookViewId="0">
      <selection activeCell="E18" sqref="E18"/>
    </sheetView>
  </sheetViews>
  <sheetFormatPr defaultRowHeight="14.25"/>
  <sheetData>
    <row r="2" spans="1:13" ht="15">
      <c r="A2" s="24" t="s">
        <v>124</v>
      </c>
    </row>
    <row r="3" spans="1:13">
      <c r="A3" t="s">
        <v>30</v>
      </c>
    </row>
    <row r="10" spans="1:13" s="21" customFormat="1" ht="12.75">
      <c r="A10" s="21" t="s">
        <v>128</v>
      </c>
      <c r="F10" s="22"/>
      <c r="G10" s="22"/>
      <c r="H10" s="22"/>
      <c r="I10" s="22"/>
      <c r="J10" s="22"/>
      <c r="K10" s="22"/>
      <c r="L10" s="22"/>
      <c r="M10" s="22"/>
    </row>
    <row r="15" spans="1:13" s="21" customFormat="1" ht="12.75">
      <c r="A15" s="21" t="s">
        <v>133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AB1A-04C7-4041-900E-32C694382B7C}">
  <dimension ref="A1:H15"/>
  <sheetViews>
    <sheetView workbookViewId="0">
      <selection activeCell="A14" sqref="A14"/>
    </sheetView>
  </sheetViews>
  <sheetFormatPr defaultRowHeight="14.25"/>
  <cols>
    <col min="1" max="1" width="48.875" customWidth="1"/>
  </cols>
  <sheetData>
    <row r="1" spans="1:8">
      <c r="A1" t="s">
        <v>125</v>
      </c>
    </row>
    <row r="2" spans="1:8">
      <c r="A2" s="40" t="s">
        <v>114</v>
      </c>
      <c r="C2" s="23" t="s">
        <v>103</v>
      </c>
      <c r="D2" s="23" t="s">
        <v>104</v>
      </c>
      <c r="E2" s="23" t="s">
        <v>105</v>
      </c>
      <c r="F2" s="23" t="s">
        <v>106</v>
      </c>
      <c r="G2" s="23" t="s">
        <v>134</v>
      </c>
      <c r="H2" s="23" t="s">
        <v>135</v>
      </c>
    </row>
    <row r="3" spans="1:8" ht="16.5">
      <c r="A3" s="40" t="s">
        <v>115</v>
      </c>
      <c r="C3" s="53">
        <v>110</v>
      </c>
      <c r="D3" s="53">
        <v>29</v>
      </c>
      <c r="E3" s="53">
        <v>1</v>
      </c>
      <c r="F3" s="53">
        <v>25</v>
      </c>
      <c r="G3" s="53">
        <v>350</v>
      </c>
      <c r="H3" s="53">
        <v>2007</v>
      </c>
    </row>
    <row r="4" spans="1:8" ht="16.5">
      <c r="A4" s="40" t="s">
        <v>116</v>
      </c>
      <c r="C4" s="53">
        <v>125</v>
      </c>
      <c r="D4" s="53">
        <v>32</v>
      </c>
      <c r="E4" s="53">
        <v>2</v>
      </c>
      <c r="F4" s="53">
        <v>20</v>
      </c>
      <c r="G4" s="53">
        <v>250</v>
      </c>
      <c r="H4" s="53">
        <v>2008</v>
      </c>
    </row>
    <row r="5" spans="1:8" ht="16.5">
      <c r="A5" s="40" t="s">
        <v>117</v>
      </c>
      <c r="C5" s="53">
        <v>150</v>
      </c>
      <c r="D5" s="53">
        <v>48</v>
      </c>
      <c r="E5" s="53">
        <v>3</v>
      </c>
      <c r="F5" s="53">
        <v>24</v>
      </c>
      <c r="G5" s="53">
        <v>200</v>
      </c>
      <c r="H5" s="53">
        <v>2009</v>
      </c>
    </row>
    <row r="6" spans="1:8" ht="16.5">
      <c r="A6" s="40" t="s">
        <v>118</v>
      </c>
      <c r="C6" s="53">
        <v>175</v>
      </c>
      <c r="D6" s="53">
        <v>50</v>
      </c>
      <c r="E6" s="53">
        <v>2</v>
      </c>
      <c r="F6" s="53">
        <v>26.5</v>
      </c>
      <c r="G6" s="53">
        <v>160</v>
      </c>
      <c r="H6" s="53">
        <v>2010</v>
      </c>
    </row>
    <row r="7" spans="1:8" ht="28.5">
      <c r="A7" s="40" t="s">
        <v>132</v>
      </c>
      <c r="C7" s="53">
        <v>180</v>
      </c>
      <c r="D7" s="53">
        <v>52</v>
      </c>
      <c r="E7" s="53">
        <v>4</v>
      </c>
      <c r="F7" s="53">
        <v>20</v>
      </c>
      <c r="G7" s="53">
        <v>400</v>
      </c>
      <c r="H7" s="53">
        <v>2011</v>
      </c>
    </row>
    <row r="8" spans="1:8" ht="16.5">
      <c r="A8" s="40"/>
      <c r="C8" s="53">
        <v>195</v>
      </c>
      <c r="D8" s="53">
        <v>49</v>
      </c>
      <c r="E8" s="53">
        <v>2</v>
      </c>
      <c r="F8" s="53">
        <v>24.5</v>
      </c>
      <c r="G8" s="53">
        <v>250</v>
      </c>
      <c r="H8" s="53">
        <v>2012</v>
      </c>
    </row>
    <row r="9" spans="1:8" ht="16.5">
      <c r="A9" s="40" t="s">
        <v>126</v>
      </c>
      <c r="C9" s="53">
        <v>200</v>
      </c>
      <c r="D9" s="53">
        <v>55</v>
      </c>
      <c r="E9" s="53">
        <v>3</v>
      </c>
      <c r="F9" s="53">
        <v>27</v>
      </c>
      <c r="G9" s="53">
        <v>190</v>
      </c>
      <c r="H9" s="53">
        <v>2013</v>
      </c>
    </row>
    <row r="10" spans="1:8" ht="28.5">
      <c r="A10" s="40" t="s">
        <v>119</v>
      </c>
      <c r="C10" s="53">
        <v>205</v>
      </c>
      <c r="D10" s="53">
        <v>58</v>
      </c>
      <c r="E10" s="53">
        <v>5</v>
      </c>
      <c r="F10" s="53">
        <v>30</v>
      </c>
      <c r="G10" s="53">
        <v>150</v>
      </c>
      <c r="H10" s="53">
        <v>2014</v>
      </c>
    </row>
    <row r="11" spans="1:8" ht="28.5">
      <c r="A11" s="40" t="s">
        <v>120</v>
      </c>
      <c r="C11" s="53">
        <v>220</v>
      </c>
      <c r="D11" s="53">
        <v>65</v>
      </c>
      <c r="E11" s="53">
        <v>3</v>
      </c>
      <c r="F11" s="53">
        <v>32</v>
      </c>
      <c r="G11" s="53">
        <v>130</v>
      </c>
      <c r="H11" s="53">
        <v>2015</v>
      </c>
    </row>
    <row r="12" spans="1:8" ht="28.5">
      <c r="A12" s="40" t="s">
        <v>131</v>
      </c>
      <c r="C12" s="53">
        <v>250</v>
      </c>
      <c r="D12" s="53">
        <v>70</v>
      </c>
      <c r="E12" s="53">
        <v>6</v>
      </c>
      <c r="F12" s="53">
        <v>35.5</v>
      </c>
      <c r="G12" s="53">
        <v>150</v>
      </c>
      <c r="H12" s="53">
        <v>2016</v>
      </c>
    </row>
    <row r="13" spans="1:8" ht="28.5">
      <c r="A13" s="40" t="s">
        <v>121</v>
      </c>
    </row>
    <row r="14" spans="1:8" ht="28.5">
      <c r="A14" s="40" t="s">
        <v>122</v>
      </c>
    </row>
    <row r="15" spans="1:8">
      <c r="A15" s="40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przykład 1 dobór zmiennych</vt:lpstr>
      <vt:lpstr>przykład2</vt:lpstr>
      <vt:lpstr>przykład3</vt:lpstr>
      <vt:lpstr>Zadanie 1</vt:lpstr>
      <vt:lpstr>Zadanie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BOZENA</dc:creator>
  <cp:lastModifiedBy>Bozena Staruch</cp:lastModifiedBy>
  <dcterms:created xsi:type="dcterms:W3CDTF">2009-11-19T11:36:45Z</dcterms:created>
  <dcterms:modified xsi:type="dcterms:W3CDTF">2026-04-26T05:37:39Z</dcterms:modified>
</cp:coreProperties>
</file>