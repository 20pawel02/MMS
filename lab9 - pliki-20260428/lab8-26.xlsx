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2.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Bozena\Desktop\zajęcia-zima26\MMS26\lab8_26\"/>
    </mc:Choice>
  </mc:AlternateContent>
  <xr:revisionPtr revIDLastSave="0" documentId="13_ncr:1_{1B5682A5-3533-41AC-863B-BACC4EE6A724}" xr6:coauthVersionLast="47" xr6:coauthVersionMax="47" xr10:uidLastSave="{00000000-0000-0000-0000-000000000000}"/>
  <bookViews>
    <workbookView xWindow="-120" yWindow="-120" windowWidth="24240" windowHeight="13140" activeTab="2" xr2:uid="{00000000-000D-0000-FFFF-FFFF00000000}"/>
  </bookViews>
  <sheets>
    <sheet name="regresja wieloraka" sheetId="8" r:id="rId1"/>
    <sheet name="wielomian" sheetId="9" r:id="rId2"/>
    <sheet name="zadanie1" sheetId="10" r:id="rId3"/>
    <sheet name="zadanie 2" sheetId="11" r:id="rId4"/>
    <sheet name="zadanie 3" sheetId="12"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2" i="9" l="1"/>
  <c r="C32" i="9"/>
  <c r="F62" i="8"/>
  <c r="F63" i="8"/>
  <c r="F64" i="8"/>
  <c r="F65" i="8"/>
  <c r="F66" i="8"/>
  <c r="F67" i="8"/>
  <c r="F68" i="8"/>
  <c r="F69" i="8"/>
  <c r="F70" i="8"/>
  <c r="F71" i="8"/>
  <c r="F61" i="8"/>
  <c r="A50" i="8" a="1"/>
  <c r="A50" i="8" s="1"/>
  <c r="D14" i="9"/>
  <c r="D15" i="9"/>
  <c r="D16" i="9"/>
  <c r="D17" i="9"/>
  <c r="D18" i="9"/>
  <c r="D19" i="9"/>
  <c r="D13" i="9"/>
  <c r="C72" i="8"/>
  <c r="V12" i="9"/>
  <c r="C57" i="8" l="1"/>
  <c r="B5" i="11"/>
  <c r="A6" i="11"/>
  <c r="B6" i="11" s="1"/>
  <c r="A7" i="11" l="1"/>
  <c r="B7" i="11" l="1"/>
  <c r="A8" i="11"/>
  <c r="A20" i="9"/>
  <c r="C20" i="8"/>
  <c r="H70" i="8" l="1"/>
  <c r="H66" i="8"/>
  <c r="H62" i="8"/>
  <c r="H69" i="8"/>
  <c r="H65" i="8"/>
  <c r="H61" i="8"/>
  <c r="H72" i="8" s="1"/>
  <c r="H68" i="8"/>
  <c r="H64" i="8"/>
  <c r="H71" i="8"/>
  <c r="H67" i="8"/>
  <c r="H63" i="8"/>
  <c r="B8" i="11"/>
  <c r="A9" i="11"/>
  <c r="F15" i="9"/>
  <c r="F17" i="9"/>
  <c r="F19" i="9"/>
  <c r="F14" i="9"/>
  <c r="F16" i="9"/>
  <c r="F18" i="9"/>
  <c r="F13" i="9"/>
  <c r="C14" i="9"/>
  <c r="C15" i="9"/>
  <c r="C16" i="9"/>
  <c r="C17" i="9"/>
  <c r="C18" i="9"/>
  <c r="C19" i="9"/>
  <c r="C13" i="9"/>
  <c r="B23" i="9" s="1" a="1"/>
  <c r="B23" i="9" s="1"/>
  <c r="B9" i="11" l="1"/>
  <c r="A10" i="11"/>
  <c r="F20" i="9"/>
  <c r="B10" i="11" l="1"/>
  <c r="A11" i="11"/>
  <c r="B11" i="11" l="1"/>
  <c r="A12" i="11"/>
  <c r="B12" i="11" l="1"/>
  <c r="A13" i="11"/>
  <c r="G64" i="8" l="1"/>
  <c r="G68" i="8"/>
  <c r="G61" i="8"/>
  <c r="G65" i="8"/>
  <c r="G62" i="8"/>
  <c r="G66" i="8"/>
  <c r="G70" i="8"/>
  <c r="G63" i="8"/>
  <c r="G67" i="8"/>
  <c r="G71" i="8"/>
  <c r="G69" i="8"/>
  <c r="A14" i="11"/>
  <c r="B13" i="11"/>
  <c r="E15" i="9"/>
  <c r="E17" i="9"/>
  <c r="E19" i="9"/>
  <c r="E18" i="9"/>
  <c r="E14" i="9"/>
  <c r="E16" i="9"/>
  <c r="E13" i="9"/>
  <c r="G72" i="8" l="1"/>
  <c r="K63" i="8" s="1"/>
  <c r="E20" i="9"/>
  <c r="J13" i="9" s="1"/>
  <c r="J14" i="9" s="1"/>
  <c r="B14" i="11"/>
  <c r="A15" i="11"/>
  <c r="B15" i="11" l="1"/>
  <c r="A16" i="11"/>
  <c r="B16" i="11" l="1"/>
  <c r="A17" i="11"/>
  <c r="A18" i="11" l="1"/>
  <c r="B17" i="11"/>
  <c r="B18" i="11" l="1"/>
  <c r="A19" i="11"/>
  <c r="B19" i="11" l="1"/>
  <c r="A20" i="11"/>
  <c r="B20" i="11" l="1"/>
  <c r="A21" i="11"/>
  <c r="A22" i="11" l="1"/>
  <c r="B21" i="11"/>
  <c r="B22" i="11" l="1"/>
  <c r="A23" i="11"/>
  <c r="B23" i="11" l="1"/>
  <c r="A24" i="11"/>
  <c r="B24" i="11" l="1"/>
  <c r="A25" i="11"/>
  <c r="A26" i="11" l="1"/>
  <c r="B25" i="11"/>
  <c r="B26" i="11" l="1"/>
  <c r="A27" i="11"/>
  <c r="B27" i="11" l="1"/>
  <c r="A28" i="11"/>
  <c r="B28" i="11" l="1"/>
  <c r="A29" i="11"/>
  <c r="A30" i="11" l="1"/>
  <c r="B29" i="11"/>
  <c r="B30" i="11" l="1"/>
  <c r="A31" i="11"/>
  <c r="B31" i="11" l="1"/>
  <c r="A32" i="11"/>
  <c r="B32" i="11" l="1"/>
  <c r="A33" i="11"/>
  <c r="A34" i="11" l="1"/>
  <c r="B33" i="11"/>
  <c r="B34" i="11" l="1"/>
  <c r="A35" i="11"/>
  <c r="B35"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<sst xmlns="http://schemas.openxmlformats.org/spreadsheetml/2006/main" count="125" uniqueCount="94">
  <si>
    <t>Stopa wzrostu dochodów</t>
  </si>
  <si>
    <t>Stopa wzrostu cen</t>
  </si>
  <si>
    <t>Stopa wzrostu wydatków</t>
  </si>
  <si>
    <t>Lata</t>
  </si>
  <si>
    <t>W poniższej tabeli przedstawiona jest liczba zachorowań na 10tys mieszkańców na pewna chorobę tropikalną</t>
  </si>
  <si>
    <t>lata</t>
  </si>
  <si>
    <t>liczba zachorowań</t>
  </si>
  <si>
    <t>t</t>
  </si>
  <si>
    <t>prognoza</t>
  </si>
  <si>
    <t>(yi-ysr)^2</t>
  </si>
  <si>
    <t>y -zachorowania</t>
  </si>
  <si>
    <t>t^2</t>
  </si>
  <si>
    <t>ysr</t>
  </si>
  <si>
    <t>y</t>
  </si>
  <si>
    <t>model</t>
  </si>
  <si>
    <t>suma</t>
  </si>
  <si>
    <t>Y</t>
  </si>
  <si>
    <t>Y=0,2+(-1,5)X1+1,8*X2</t>
  </si>
  <si>
    <t>(yi-yi^)^2</t>
  </si>
  <si>
    <t>R^2</t>
  </si>
  <si>
    <t>(yi-y^)^2</t>
  </si>
  <si>
    <t>yi^=prognoza</t>
  </si>
  <si>
    <t>b silna zależnośc silniejsza niż wykładnicza</t>
  </si>
  <si>
    <t>Dopasować model wielomianowy stopnia 2.</t>
  </si>
  <si>
    <t>Czy model wielomianowy stopnia 2 jest lepiej dopasowany od innych (liniowy, wykładniczy, potegowy)?</t>
  </si>
  <si>
    <t>x2</t>
  </si>
  <si>
    <t>x3</t>
  </si>
  <si>
    <t>styczeń 1997 = 100</t>
  </si>
  <si>
    <t>w zł</t>
  </si>
  <si>
    <t>Ceny produkcji budowlano-montażowej</t>
  </si>
  <si>
    <t>przeciętne miesięczne wynagrodzenie brutto w gospodarce narodowej ogółem</t>
  </si>
  <si>
    <t>Ceny towarów i usług konsumpcyjnych</t>
  </si>
  <si>
    <t>100 dolarów USA</t>
  </si>
  <si>
    <t>I kw 1997</t>
  </si>
  <si>
    <t>II kw 1997</t>
  </si>
  <si>
    <t>III kw 1997</t>
  </si>
  <si>
    <t>IV kw 1997</t>
  </si>
  <si>
    <t>I kw 1998</t>
  </si>
  <si>
    <t>II kw 1998</t>
  </si>
  <si>
    <t>III kw 1998</t>
  </si>
  <si>
    <t>IV kw 1998</t>
  </si>
  <si>
    <t>I kw 1999</t>
  </si>
  <si>
    <t>II kw 1999</t>
  </si>
  <si>
    <t>III kw 1999</t>
  </si>
  <si>
    <t>IV kw 1999</t>
  </si>
  <si>
    <t>I kw 2000</t>
  </si>
  <si>
    <t>II kw 2000</t>
  </si>
  <si>
    <t>III kw 2000</t>
  </si>
  <si>
    <t>IV kw 2000</t>
  </si>
  <si>
    <t>I kw 2001</t>
  </si>
  <si>
    <t>II kw 2001</t>
  </si>
  <si>
    <t>III kw 2001</t>
  </si>
  <si>
    <t>IV kw 2001</t>
  </si>
  <si>
    <t>I kw 2002</t>
  </si>
  <si>
    <t>II kw 2002</t>
  </si>
  <si>
    <t>III kw 2002</t>
  </si>
  <si>
    <t>IV kw 2002</t>
  </si>
  <si>
    <t>I kw 2003</t>
  </si>
  <si>
    <t>II kw 2003</t>
  </si>
  <si>
    <t>współcz. proporc.</t>
  </si>
  <si>
    <t xml:space="preserve">amplituda zakłóceń </t>
  </si>
  <si>
    <t>Regresja liniowa i wielomianowa</t>
  </si>
  <si>
    <t>a)liniowy</t>
  </si>
  <si>
    <t>b)wielomianowy 2 stopnia</t>
  </si>
  <si>
    <t>c)wielomianowy 3 stopnia</t>
  </si>
  <si>
    <t>2. wyznaczyć wspólczynniki determinacji i wybrac model najlepiej dopasowany.</t>
  </si>
  <si>
    <t>prognoza stopy wydatku</t>
  </si>
  <si>
    <t>x1</t>
  </si>
  <si>
    <t>| r |</t>
  </si>
  <si>
    <t>a0</t>
  </si>
  <si>
    <t>a1</t>
  </si>
  <si>
    <t>a2</t>
  </si>
  <si>
    <t>x</t>
  </si>
  <si>
    <t>|r|</t>
  </si>
  <si>
    <t>WYKORZYSTANIE WYKRESU</t>
  </si>
  <si>
    <t>Y oznacza wartość mieszkania [w tys. zł]</t>
  </si>
  <si>
    <t>X1 - metraż mieszkania</t>
  </si>
  <si>
    <t>X2 - piętro</t>
  </si>
  <si>
    <t>X3 – roczne dochody kupującego [w tys. zł]</t>
  </si>
  <si>
    <t>2. Wyznaczyć model korelacji wielorakiej opisujący zależność wartości mieszkania od zmiennych X1,X2,X3,X4</t>
  </si>
  <si>
    <t>1. Wyznaczyć model korelacji wielorakiej opisujący zależność wartości mieszkania od zmiennych X1,X3,X4</t>
  </si>
  <si>
    <t>3. Ocenic jakość otrzymanych modeli. Czy można powiedzieć, że piętro (zmienna X2) nie ma wpływu na wartość mieszkania?</t>
  </si>
  <si>
    <r>
      <t xml:space="preserve">Uwaga: </t>
    </r>
    <r>
      <rPr>
        <sz val="10"/>
        <color rgb="FFFF0000"/>
        <rFont val="Cambria"/>
        <family val="1"/>
        <charset val="238"/>
        <scheme val="major"/>
      </rPr>
      <t>Wzór zawiera funkcję losujacą, więc wartości będą się zmieniac przy kazdej modyfikacji</t>
    </r>
  </si>
  <si>
    <t>parametry modelu</t>
  </si>
  <si>
    <t>y=15,43-1,95*t+0,619*t^2</t>
  </si>
  <si>
    <t>współczynniki modelu regresji</t>
  </si>
  <si>
    <t>Prognoza</t>
  </si>
  <si>
    <t>X1</t>
  </si>
  <si>
    <t>X2</t>
  </si>
  <si>
    <t>X3</t>
  </si>
  <si>
    <t>X4</t>
  </si>
  <si>
    <t>X4 – odległość od centrum usługowego/sklepu itp. [w m]</t>
  </si>
  <si>
    <t>4. Jak się zmieni ocena modelu, gdy przyjmiemy jeszcze zmienną X5 - zależną od roku obserwacji, czyli zbudujemy modele korelacji wielorakiej od X1,X3,X4,X5  oraz X1,X2,X3,X4, X5?  Czy w tej sytuacji można uznać że zmienna X2 nie ma wpływu na wartośc mieszkania?</t>
  </si>
  <si>
    <t xml:space="preserve">1.Wyznaczyc model obliczając wszystkie potrzebne wartości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</si>
</sst>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1"/>
      <color theme="1"/>
      <name val="Czcionka tekstu podstawowego"/>
      <family val="2"/>
      <charset val="238"/>
    </font>
    <font>
      <sz val="10"/>
      <name val="Arial CE"/>
      <charset val="238"/>
    </font>
    <font>
      <sz val="10"/>
      <name val="Arial"/>
      <family val="2"/>
      <charset val="238"/>
    </font>
    <font>
      <b/>
      <sz val="10"/>
      <name val="Arial CE"/>
      <family val="2"/>
      <charset val="238"/>
    </font>
    <font>
      <sz val="8"/>
      <name val="Arial CE"/>
      <family val="2"/>
      <charset val="238"/>
    </font>
    <font>
      <u/>
      <sz val="10"/>
      <color indexed="12"/>
      <name val="Arial CE"/>
      <charset val="238"/>
    </font>
    <font>
      <sz val="10"/>
      <name val="Arial CE"/>
      <family val="2"/>
      <charset val="238"/>
    </font>
    <font>
      <b/>
      <sz val="14"/>
      <color indexed="9"/>
      <name val="Arial CE"/>
      <family val="2"/>
      <charset val="238"/>
    </font>
    <font>
      <i/>
      <sz val="10"/>
      <name val="Arial CE"/>
      <family val="2"/>
      <charset val="238"/>
    </font>
    <font>
      <b/>
      <sz val="14"/>
      <name val="Arial CE"/>
      <family val="2"/>
      <charset val="238"/>
    </font>
    <font>
      <b/>
      <sz val="10"/>
      <name val="Arial"/>
      <family val="2"/>
      <charset val="238"/>
    </font>
    <font>
      <sz val="8"/>
      <name val="Czcionka tekstu podstawowego"/>
      <family val="2"/>
      <charset val="238"/>
    </font>
    <font>
      <b/>
      <sz val="10"/>
      <name val="Arial CE"/>
      <charset val="238"/>
    </font>
    <font>
      <sz val="18"/>
      <name val="Arial"/>
      <family val="2"/>
      <charset val="238"/>
    </font>
    <font>
      <b/>
      <sz val="18"/>
      <name val="Arial"/>
      <family val="2"/>
      <charset val="238"/>
    </font>
    <font>
      <sz val="11"/>
      <color theme="1"/>
      <name val="Arial"/>
      <family val="2"/>
      <charset val="238"/>
    </font>
    <font>
      <sz val="10"/>
      <color rgb="FFFF0000"/>
      <name val="Arial CE"/>
      <charset val="238"/>
    </font>
    <font>
      <sz val="10"/>
      <color rgb="FFFF0000"/>
      <name val="Cambria"/>
      <family val="1"/>
      <charset val="238"/>
      <scheme val="major"/>
    </font>
    <font>
      <sz val="11"/>
      <color theme="1"/>
      <name val="Segoe UI"/>
      <family val="2"/>
      <charset val="238"/>
    </font>
    <font>
      <sz val="11"/>
      <color theme="1"/>
      <name val="Aria"/>
      <charset val="238"/>
    </font>
  </fonts>
  <fills count="10">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indexed="47"/>
        <bgColor indexed="64"/>
      </patternFill>
    </fill>
    <fill>
      <patternFill patternType="solid">
        <fgColor indexed="41"/>
        <bgColor indexed="64"/>
      </patternFill>
    </fill>
    <fill>
      <patternFill patternType="solid">
        <fgColor indexed="22"/>
        <bgColor indexed="64"/>
      </patternFill>
    </fill>
    <fill>
      <patternFill patternType="solid">
        <fgColor indexed="23"/>
        <bgColor indexed="64"/>
      </patternFill>
    </fill>
    <fill>
      <patternFill patternType="solid">
        <fgColor rgb="FFFFC000"/>
        <bgColor indexed="64"/>
      </patternFill>
    </fill>
    <fill>
      <patternFill patternType="solid">
        <fgColor theme="3"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rgb="FFE6E6E6"/>
      </left>
      <right/>
      <top style="medium">
        <color rgb="FFE6E6E6"/>
      </top>
      <bottom style="medium">
        <color rgb="FFE6E6E6"/>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s>
  <cellStyleXfs count="4">
    <xf numFmtId="0" fontId="0" fillId="0" borderId="0"/>
    <xf numFmtId="0" fontId="1" fillId="0" borderId="0"/>
    <xf numFmtId="0" fontId="2" fillId="0" borderId="0"/>
    <xf numFmtId="0" fontId="5" fillId="0" borderId="0" applyNumberFormat="0" applyFill="0" applyBorder="0" applyAlignment="0" applyProtection="0">
      <alignment vertical="top"/>
      <protection locked="0"/>
    </xf>
  </cellStyleXfs>
  <cellXfs count="77">
    <xf numFmtId="0" fontId="0" fillId="0" borderId="0" xfId="0"/>
    <xf numFmtId="0" fontId="2" fillId="0" borderId="0" xfId="2"/>
    <xf numFmtId="0" fontId="2" fillId="2" borderId="0" xfId="2" applyFill="1"/>
    <xf numFmtId="0" fontId="2" fillId="0" borderId="1" xfId="2" applyBorder="1"/>
    <xf numFmtId="0" fontId="2" fillId="2" borderId="1" xfId="2" applyFill="1" applyBorder="1"/>
    <xf numFmtId="0" fontId="2" fillId="3" borderId="0" xfId="2" applyFill="1"/>
    <xf numFmtId="0" fontId="1" fillId="0" borderId="0" xfId="1"/>
    <xf numFmtId="0" fontId="3" fillId="4" borderId="1" xfId="1" applyFont="1" applyFill="1" applyBorder="1" applyAlignment="1">
      <alignment horizontal="center"/>
    </xf>
    <xf numFmtId="0" fontId="3" fillId="5" borderId="1" xfId="1" applyFont="1" applyFill="1" applyBorder="1" applyAlignment="1">
      <alignment horizontal="center"/>
    </xf>
    <xf numFmtId="0" fontId="4" fillId="0" borderId="1" xfId="1" applyFont="1" applyBorder="1" applyAlignment="1">
      <alignment horizontal="center" wrapText="1"/>
    </xf>
    <xf numFmtId="0" fontId="4" fillId="0" borderId="1" xfId="1" applyFont="1" applyBorder="1" applyAlignment="1">
      <alignment horizontal="center"/>
    </xf>
    <xf numFmtId="0" fontId="6" fillId="0" borderId="0" xfId="1" applyFont="1" applyAlignment="1">
      <alignment horizontal="right"/>
    </xf>
    <xf numFmtId="2" fontId="6" fillId="0" borderId="2" xfId="1" applyNumberFormat="1" applyFont="1" applyBorder="1" applyAlignment="1">
      <alignment horizontal="center" vertical="top" wrapText="1"/>
    </xf>
    <xf numFmtId="2" fontId="6" fillId="0" borderId="2" xfId="1" applyNumberFormat="1" applyFont="1" applyBorder="1" applyAlignment="1">
      <alignment horizontal="center" wrapText="1"/>
    </xf>
    <xf numFmtId="2" fontId="6" fillId="0" borderId="2" xfId="1" applyNumberFormat="1" applyFont="1" applyBorder="1" applyAlignment="1">
      <alignment horizontal="center"/>
    </xf>
    <xf numFmtId="2" fontId="6" fillId="0" borderId="3" xfId="1" applyNumberFormat="1" applyFont="1" applyBorder="1" applyAlignment="1">
      <alignment horizontal="center" vertical="top" wrapText="1"/>
    </xf>
    <xf numFmtId="2" fontId="6" fillId="0" borderId="3" xfId="1" applyNumberFormat="1" applyFont="1" applyBorder="1" applyAlignment="1">
      <alignment horizontal="center" wrapText="1"/>
    </xf>
    <xf numFmtId="2" fontId="6" fillId="0" borderId="3" xfId="1" applyNumberFormat="1" applyFont="1" applyBorder="1" applyAlignment="1">
      <alignment horizontal="center"/>
    </xf>
    <xf numFmtId="2" fontId="6" fillId="0" borderId="4" xfId="1" applyNumberFormat="1" applyFont="1" applyBorder="1" applyAlignment="1">
      <alignment horizontal="center" vertical="top" wrapText="1"/>
    </xf>
    <xf numFmtId="2" fontId="6" fillId="0" borderId="4" xfId="1" applyNumberFormat="1" applyFont="1" applyBorder="1" applyAlignment="1">
      <alignment horizontal="center" wrapText="1"/>
    </xf>
    <xf numFmtId="2" fontId="1" fillId="0" borderId="0" xfId="1" applyNumberFormat="1"/>
    <xf numFmtId="164" fontId="1" fillId="0" borderId="0" xfId="1" applyNumberFormat="1"/>
    <xf numFmtId="2" fontId="1" fillId="6" borderId="0" xfId="1" applyNumberFormat="1" applyFill="1" applyAlignment="1">
      <alignment horizontal="center"/>
    </xf>
    <xf numFmtId="164" fontId="1" fillId="6" borderId="0" xfId="1" applyNumberFormat="1" applyFill="1" applyAlignment="1">
      <alignment horizontal="center"/>
    </xf>
    <xf numFmtId="0" fontId="3" fillId="6" borderId="0" xfId="1" applyFont="1" applyFill="1" applyAlignment="1">
      <alignment horizontal="center"/>
    </xf>
    <xf numFmtId="0" fontId="7" fillId="7" borderId="0" xfId="1" applyFont="1" applyFill="1" applyAlignment="1">
      <alignment horizontal="center"/>
    </xf>
    <xf numFmtId="0" fontId="8" fillId="0" borderId="0" xfId="1" applyFont="1" applyAlignment="1">
      <alignment horizontal="center"/>
    </xf>
    <xf numFmtId="0" fontId="9" fillId="0" borderId="0" xfId="1" applyFont="1"/>
    <xf numFmtId="0" fontId="2" fillId="3" borderId="1" xfId="2" applyFill="1" applyBorder="1"/>
    <xf numFmtId="0" fontId="2" fillId="0" borderId="1" xfId="2" applyBorder="1" applyAlignment="1">
      <alignment horizontal="center" vertical="center" wrapText="1"/>
    </xf>
    <xf numFmtId="0" fontId="2" fillId="0" borderId="1" xfId="2" applyBorder="1" applyAlignment="1">
      <alignment vertical="center"/>
    </xf>
    <xf numFmtId="0" fontId="4" fillId="0" borderId="1" xfId="1" applyFont="1" applyBorder="1" applyAlignment="1">
      <alignment horizontal="center" vertical="center" wrapText="1"/>
    </xf>
    <xf numFmtId="0" fontId="4" fillId="0" borderId="1" xfId="3" applyFont="1" applyFill="1" applyBorder="1" applyAlignment="1" applyProtection="1">
      <alignment horizontal="center" vertical="center" wrapText="1"/>
    </xf>
    <xf numFmtId="0" fontId="1" fillId="8" borderId="5" xfId="1" applyFill="1" applyBorder="1"/>
    <xf numFmtId="0" fontId="1" fillId="8" borderId="6" xfId="1" applyFill="1" applyBorder="1"/>
    <xf numFmtId="0" fontId="1" fillId="8" borderId="7" xfId="1" applyFill="1" applyBorder="1"/>
    <xf numFmtId="0" fontId="1" fillId="8" borderId="8" xfId="1" applyFill="1" applyBorder="1"/>
    <xf numFmtId="0" fontId="1" fillId="8" borderId="0" xfId="1" applyFill="1"/>
    <xf numFmtId="0" fontId="1" fillId="8" borderId="9" xfId="1" applyFill="1" applyBorder="1"/>
    <xf numFmtId="0" fontId="1" fillId="8" borderId="10" xfId="1" applyFill="1" applyBorder="1"/>
    <xf numFmtId="0" fontId="1" fillId="8" borderId="11" xfId="1" applyFill="1" applyBorder="1"/>
    <xf numFmtId="0" fontId="1" fillId="8" borderId="12" xfId="1" applyFill="1" applyBorder="1"/>
    <xf numFmtId="0" fontId="10" fillId="0" borderId="0" xfId="2" applyFont="1"/>
    <xf numFmtId="0" fontId="2" fillId="0" borderId="1" xfId="2" applyBorder="1" applyAlignment="1">
      <alignment wrapText="1"/>
    </xf>
    <xf numFmtId="2" fontId="2" fillId="0" borderId="1" xfId="2" applyNumberFormat="1" applyBorder="1" applyAlignment="1">
      <alignment horizontal="center"/>
    </xf>
    <xf numFmtId="2" fontId="2" fillId="3" borderId="1" xfId="2" applyNumberFormat="1" applyFill="1" applyBorder="1" applyAlignment="1">
      <alignment horizontal="center"/>
    </xf>
    <xf numFmtId="0" fontId="2" fillId="0" borderId="1" xfId="2" applyBorder="1" applyAlignment="1">
      <alignment horizontal="center" vertical="center"/>
    </xf>
    <xf numFmtId="0" fontId="12" fillId="6" borderId="0" xfId="1" applyFont="1" applyFill="1" applyAlignment="1">
      <alignment horizontal="center"/>
    </xf>
    <xf numFmtId="0" fontId="2" fillId="0" borderId="0" xfId="2" applyAlignment="1">
      <alignment horizontal="center"/>
    </xf>
    <xf numFmtId="0" fontId="13" fillId="0" borderId="0" xfId="2" applyFont="1" applyAlignment="1">
      <alignment horizontal="center"/>
    </xf>
    <xf numFmtId="0" fontId="14" fillId="0" borderId="0" xfId="2" applyFont="1"/>
    <xf numFmtId="0" fontId="15" fillId="0" borderId="0" xfId="0" applyFont="1" applyAlignment="1">
      <alignment vertical="center" wrapText="1"/>
    </xf>
    <xf numFmtId="0" fontId="16" fillId="0" borderId="0" xfId="1" applyFont="1"/>
    <xf numFmtId="2" fontId="10" fillId="0" borderId="1" xfId="2" applyNumberFormat="1" applyFont="1" applyBorder="1" applyAlignment="1">
      <alignment horizontal="center"/>
    </xf>
    <xf numFmtId="0" fontId="10" fillId="9" borderId="0" xfId="2" applyFont="1" applyFill="1" applyAlignment="1">
      <alignment horizontal="center" vertical="center"/>
    </xf>
    <xf numFmtId="0" fontId="2" fillId="0" borderId="1" xfId="2" applyBorder="1" applyAlignment="1">
      <alignment horizontal="center"/>
    </xf>
    <xf numFmtId="0" fontId="2" fillId="0" borderId="13" xfId="2" applyBorder="1" applyAlignment="1">
      <alignment horizontal="center" vertical="center" wrapText="1"/>
    </xf>
    <xf numFmtId="0" fontId="2" fillId="0" borderId="14" xfId="2" applyBorder="1" applyAlignment="1">
      <alignment horizontal="center" vertical="center" wrapText="1"/>
    </xf>
    <xf numFmtId="0" fontId="2" fillId="0" borderId="15" xfId="2" applyBorder="1" applyAlignment="1">
      <alignment horizontal="center"/>
    </xf>
    <xf numFmtId="0" fontId="2" fillId="0" borderId="16" xfId="2" applyBorder="1" applyAlignment="1">
      <alignment horizontal="center"/>
    </xf>
    <xf numFmtId="0" fontId="2" fillId="0" borderId="15" xfId="2" applyBorder="1"/>
    <xf numFmtId="0" fontId="2" fillId="0" borderId="16" xfId="2" applyBorder="1"/>
    <xf numFmtId="0" fontId="2" fillId="0" borderId="17" xfId="2" applyBorder="1"/>
    <xf numFmtId="0" fontId="2" fillId="0" borderId="18" xfId="2" applyBorder="1"/>
    <xf numFmtId="0" fontId="2" fillId="0" borderId="19" xfId="2" applyBorder="1" applyAlignment="1">
      <alignment horizontal="center" vertical="center" wrapText="1"/>
    </xf>
    <xf numFmtId="0" fontId="18" fillId="0" borderId="20" xfId="0" applyFont="1" applyBorder="1" applyAlignment="1">
      <alignment vertical="center" wrapText="1"/>
    </xf>
    <xf numFmtId="0" fontId="0" fillId="0" borderId="1" xfId="0" applyBorder="1" applyAlignment="1">
      <alignment horizontal="center"/>
    </xf>
    <xf numFmtId="0" fontId="18" fillId="0" borderId="1" xfId="0" applyFont="1" applyBorder="1" applyAlignment="1">
      <alignment horizontal="center" vertical="center" wrapText="1"/>
    </xf>
    <xf numFmtId="0" fontId="0" fillId="0" borderId="1" xfId="0" applyFill="1" applyBorder="1" applyAlignment="1">
      <alignment horizontal="center"/>
    </xf>
    <xf numFmtId="0" fontId="18" fillId="0" borderId="1" xfId="0" applyFont="1" applyFill="1" applyBorder="1" applyAlignment="1">
      <alignment horizontal="center" vertical="center" wrapText="1"/>
    </xf>
    <xf numFmtId="0" fontId="2" fillId="0" borderId="21" xfId="2" applyBorder="1" applyAlignment="1">
      <alignment horizontal="center"/>
    </xf>
    <xf numFmtId="0" fontId="2" fillId="0" borderId="21" xfId="2" applyBorder="1"/>
    <xf numFmtId="0" fontId="2" fillId="0" borderId="22" xfId="2" applyBorder="1"/>
    <xf numFmtId="0" fontId="10" fillId="0" borderId="1" xfId="2" applyFont="1" applyBorder="1" applyAlignment="1">
      <alignment horizontal="center" vertical="center"/>
    </xf>
    <xf numFmtId="0" fontId="19" fillId="0" borderId="0" xfId="0" applyFont="1" applyAlignment="1">
      <alignment horizontal="center" vertical="center" wrapText="1"/>
    </xf>
    <xf numFmtId="0" fontId="2" fillId="0" borderId="23" xfId="2" applyBorder="1"/>
    <xf numFmtId="2" fontId="10" fillId="2" borderId="1" xfId="2" applyNumberFormat="1" applyFont="1" applyFill="1" applyBorder="1" applyAlignment="1">
      <alignment horizontal="center"/>
    </xf>
  </cellXfs>
  <cellStyles count="4">
    <cellStyle name="Hiperłącze" xfId="3" builtinId="8"/>
    <cellStyle name="Normalny" xfId="0" builtinId="0"/>
    <cellStyle name="Normalny 2" xfId="1" xr:uid="{00000000-0005-0000-0000-000002000000}"/>
    <cellStyle name="Normalny 3"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wielomian!$U$2</c:f>
              <c:strCache>
                <c:ptCount val="1"/>
                <c:pt idx="0">
                  <c:v>y -zachorowania</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501078302712161"/>
                  <c:y val="-0.1809722222222222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wielomian!$T$3:$T$9</c:f>
              <c:numCache>
                <c:formatCode>General</c:formatCode>
                <c:ptCount val="7"/>
                <c:pt idx="0">
                  <c:v>1</c:v>
                </c:pt>
                <c:pt idx="1">
                  <c:v>2</c:v>
                </c:pt>
                <c:pt idx="2">
                  <c:v>3</c:v>
                </c:pt>
                <c:pt idx="3">
                  <c:v>4</c:v>
                </c:pt>
                <c:pt idx="4">
                  <c:v>5</c:v>
                </c:pt>
                <c:pt idx="5">
                  <c:v>6</c:v>
                </c:pt>
                <c:pt idx="6">
                  <c:v>7</c:v>
                </c:pt>
              </c:numCache>
            </c:numRef>
          </c:xVal>
          <c:yVal>
            <c:numRef>
              <c:f>wielomian!$U$3:$U$9</c:f>
              <c:numCache>
                <c:formatCode>General</c:formatCode>
                <c:ptCount val="7"/>
                <c:pt idx="0">
                  <c:v>13</c:v>
                </c:pt>
                <c:pt idx="1">
                  <c:v>16</c:v>
                </c:pt>
                <c:pt idx="2">
                  <c:v>15</c:v>
                </c:pt>
                <c:pt idx="3">
                  <c:v>17</c:v>
                </c:pt>
                <c:pt idx="4">
                  <c:v>20</c:v>
                </c:pt>
                <c:pt idx="5">
                  <c:v>27</c:v>
                </c:pt>
                <c:pt idx="6">
                  <c:v>32</c:v>
                </c:pt>
              </c:numCache>
            </c:numRef>
          </c:yVal>
          <c:smooth val="0"/>
          <c:extLst>
            <c:ext xmlns:c16="http://schemas.microsoft.com/office/drawing/2014/chart" uri="{C3380CC4-5D6E-409C-BE32-E72D297353CC}">
              <c16:uniqueId val="{00000000-1F9C-44FA-BD98-06599E2E16C1}"/>
            </c:ext>
          </c:extLst>
        </c:ser>
        <c:dLbls>
          <c:showLegendKey val="0"/>
          <c:showVal val="0"/>
          <c:showCatName val="0"/>
          <c:showSerName val="0"/>
          <c:showPercent val="0"/>
          <c:showBubbleSize val="0"/>
        </c:dLbls>
        <c:axId val="787529263"/>
        <c:axId val="787537167"/>
      </c:scatterChart>
      <c:valAx>
        <c:axId val="787529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537167"/>
        <c:crosses val="autoZero"/>
        <c:crossBetween val="midCat"/>
      </c:valAx>
      <c:valAx>
        <c:axId val="78753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5292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2.emf"/><Relationship Id="rId5" Type="http://schemas.openxmlformats.org/officeDocument/2006/relationships/image" Target="../media/image1.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0</xdr:col>
      <xdr:colOff>123825</xdr:colOff>
      <xdr:row>0</xdr:row>
      <xdr:rowOff>50800</xdr:rowOff>
    </xdr:from>
    <xdr:to>
      <xdr:col>5</xdr:col>
      <xdr:colOff>682625</xdr:colOff>
      <xdr:row>5</xdr:row>
      <xdr:rowOff>50800</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123825" y="50800"/>
          <a:ext cx="3932238" cy="79375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pl-PL" sz="1000" b="0" i="0" strike="noStrike">
              <a:solidFill>
                <a:srgbClr val="000000"/>
              </a:solidFill>
              <a:latin typeface="Arial CE"/>
            </a:rPr>
            <a:t>Postanowiono sprawdzić przypuszczenie, że wzrost wydatków ludności pewnego regionu na określoną grupę artykułów wyposażenia mieszkań zależy od wzrostu dochodów realnych ludności oraz od wzrostu cen na artykuły tej grupy. Dysponowano następującymi danymi liczbowymi:</a:t>
          </a:r>
        </a:p>
      </xdr:txBody>
    </xdr:sp>
    <xdr:clientData/>
  </xdr:twoCellAnchor>
  <xdr:twoCellAnchor>
    <xdr:from>
      <xdr:col>0</xdr:col>
      <xdr:colOff>14654</xdr:colOff>
      <xdr:row>23</xdr:row>
      <xdr:rowOff>76199</xdr:rowOff>
    </xdr:from>
    <xdr:to>
      <xdr:col>7</xdr:col>
      <xdr:colOff>124557</xdr:colOff>
      <xdr:row>30</xdr:row>
      <xdr:rowOff>43960</xdr:rowOff>
    </xdr:to>
    <xdr:sp macro="" textlink="">
      <xdr:nvSpPr>
        <xdr:cNvPr id="3" name="Text Box 2">
          <a:extLst>
            <a:ext uri="{FF2B5EF4-FFF2-40B4-BE49-F238E27FC236}">
              <a16:creationId xmlns:a16="http://schemas.microsoft.com/office/drawing/2014/main" id="{00000000-0008-0000-0000-000003000000}"/>
            </a:ext>
          </a:extLst>
        </xdr:cNvPr>
        <xdr:cNvSpPr txBox="1">
          <a:spLocks noChangeArrowheads="1"/>
        </xdr:cNvSpPr>
      </xdr:nvSpPr>
      <xdr:spPr bwMode="auto">
        <a:xfrm>
          <a:off x="14654" y="4113334"/>
          <a:ext cx="4176345" cy="1096107"/>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pl-PL" sz="1000" b="0" i="0" strike="noStrike">
              <a:solidFill>
                <a:srgbClr val="000000"/>
              </a:solidFill>
              <a:latin typeface="Arial CE"/>
            </a:rPr>
            <a:t>1.Klasyczną metodą najmniejszych kwadratów oszacować parametry równania, w którym stopa wzrostu wydatków zależy w sposób liniowy od stopy wzrostu cen oraz od stopy wzrostu dochodów realnych ludności. </a:t>
          </a:r>
        </a:p>
        <a:p>
          <a:pPr algn="l" rtl="0">
            <a:defRPr sz="1000"/>
          </a:pPr>
          <a:r>
            <a:rPr lang="pl-PL" sz="1000" b="0" i="0" strike="noStrike">
              <a:solidFill>
                <a:srgbClr val="000000"/>
              </a:solidFill>
              <a:latin typeface="Arial CE"/>
            </a:rPr>
            <a:t>2.Oszacować stopień dopasowania modelu wyliczając współczynnik determinacji.</a:t>
          </a:r>
        </a:p>
        <a:p>
          <a:pPr algn="l" rtl="0">
            <a:defRPr sz="1000"/>
          </a:pPr>
          <a:r>
            <a:rPr lang="pl-PL" sz="1000" b="0" i="0" strike="noStrike">
              <a:solidFill>
                <a:srgbClr val="000000"/>
              </a:solidFill>
              <a:latin typeface="Arial CE"/>
            </a:rPr>
            <a:t>3.</a:t>
          </a:r>
          <a:r>
            <a:rPr lang="pl-PL" sz="1000" b="0" i="0" strike="noStrike" baseline="0">
              <a:solidFill>
                <a:srgbClr val="000000"/>
              </a:solidFill>
              <a:latin typeface="Arial CE"/>
            </a:rPr>
            <a:t> </a:t>
          </a:r>
          <a:r>
            <a:rPr lang="pl-PL" sz="1000" b="0" i="0" strike="noStrike">
              <a:solidFill>
                <a:srgbClr val="000000"/>
              </a:solidFill>
              <a:latin typeface="Arial CE"/>
            </a:rPr>
            <a:t>Dokonać</a:t>
          </a:r>
          <a:r>
            <a:rPr lang="pl-PL" sz="1000" b="0" i="0" strike="noStrike" baseline="0">
              <a:solidFill>
                <a:srgbClr val="000000"/>
              </a:solidFill>
              <a:latin typeface="Arial CE"/>
            </a:rPr>
            <a:t> prognozy wydatków, przy stopie wzrostu cen na poziomie 4 a wzrostu dochodów na poziomie 1.</a:t>
          </a:r>
          <a:endParaRPr lang="pl-PL" sz="1000" b="0" i="0" strike="noStrike">
            <a:solidFill>
              <a:srgbClr val="000000"/>
            </a:solidFill>
            <a:latin typeface="Arial CE"/>
          </a:endParaRPr>
        </a:p>
      </xdr:txBody>
    </xdr:sp>
    <xdr:clientData/>
  </xdr:twoCellAnchor>
  <mc:AlternateContent xmlns:mc="http://schemas.openxmlformats.org/markup-compatibility/2006">
    <mc:Choice xmlns:a14="http://schemas.microsoft.com/office/drawing/2010/main" Requires="a14">
      <xdr:twoCellAnchor>
        <xdr:from>
          <xdr:col>2</xdr:col>
          <xdr:colOff>47625</xdr:colOff>
          <xdr:row>31</xdr:row>
          <xdr:rowOff>0</xdr:rowOff>
        </xdr:from>
        <xdr:to>
          <xdr:col>3</xdr:col>
          <xdr:colOff>866775</xdr:colOff>
          <xdr:row>31</xdr:row>
          <xdr:rowOff>0</xdr:rowOff>
        </xdr:to>
        <xdr:sp macro="" textlink="">
          <xdr:nvSpPr>
            <xdr:cNvPr id="3077" name="Object 8" hidden="1">
              <a:extLst>
                <a:ext uri="{63B3BB69-23CF-44E3-9099-C40C66FF867C}">
                  <a14:compatExt spid="_x0000_s3077"/>
                </a:ext>
                <a:ext uri="{FF2B5EF4-FFF2-40B4-BE49-F238E27FC236}">
                  <a16:creationId xmlns:a16="http://schemas.microsoft.com/office/drawing/2014/main" id="{00000000-0008-0000-0000-000005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677862</xdr:colOff>
          <xdr:row>51</xdr:row>
          <xdr:rowOff>31750</xdr:rowOff>
        </xdr:from>
        <xdr:to>
          <xdr:col>16</xdr:col>
          <xdr:colOff>184221</xdr:colOff>
          <xdr:row>59</xdr:row>
          <xdr:rowOff>131762</xdr:rowOff>
        </xdr:to>
        <xdr:sp macro="" textlink="">
          <xdr:nvSpPr>
            <xdr:cNvPr id="3082" name="Object 4" hidden="1">
              <a:extLst>
                <a:ext uri="{63B3BB69-23CF-44E3-9099-C40C66FF867C}">
                  <a14:compatExt spid="_x0000_s3082"/>
                </a:ext>
                <a:ext uri="{FF2B5EF4-FFF2-40B4-BE49-F238E27FC236}">
                  <a16:creationId xmlns:a16="http://schemas.microsoft.com/office/drawing/2014/main" id="{00000000-0008-0000-0000-00000A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581025</xdr:colOff>
          <xdr:row>9</xdr:row>
          <xdr:rowOff>0</xdr:rowOff>
        </xdr:from>
        <xdr:to>
          <xdr:col>2</xdr:col>
          <xdr:colOff>342900</xdr:colOff>
          <xdr:row>9</xdr:row>
          <xdr:rowOff>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161925</xdr:colOff>
          <xdr:row>9</xdr:row>
          <xdr:rowOff>0</xdr:rowOff>
        </xdr:from>
        <xdr:to>
          <xdr:col>3</xdr:col>
          <xdr:colOff>381000</xdr:colOff>
          <xdr:row>9</xdr:row>
          <xdr:rowOff>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2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438150</xdr:colOff>
          <xdr:row>9</xdr:row>
          <xdr:rowOff>0</xdr:rowOff>
        </xdr:from>
        <xdr:to>
          <xdr:col>10</xdr:col>
          <xdr:colOff>142875</xdr:colOff>
          <xdr:row>9</xdr:row>
          <xdr:rowOff>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9</xdr:row>
          <xdr:rowOff>0</xdr:rowOff>
        </xdr:from>
        <xdr:to>
          <xdr:col>10</xdr:col>
          <xdr:colOff>371475</xdr:colOff>
          <xdr:row>9</xdr:row>
          <xdr:rowOff>0</xdr:rowOff>
        </xdr:to>
        <xdr:sp macro="" textlink="">
          <xdr:nvSpPr>
            <xdr:cNvPr id="2052" name="Object 4"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32</xdr:row>
          <xdr:rowOff>0</xdr:rowOff>
        </xdr:from>
        <xdr:to>
          <xdr:col>0</xdr:col>
          <xdr:colOff>0</xdr:colOff>
          <xdr:row>34</xdr:row>
          <xdr:rowOff>95250</xdr:rowOff>
        </xdr:to>
        <xdr:sp macro="" textlink="">
          <xdr:nvSpPr>
            <xdr:cNvPr id="2055" name="Object 8" hidden="1">
              <a:extLst>
                <a:ext uri="{63B3BB69-23CF-44E3-9099-C40C66FF867C}">
                  <a14:compatExt spid="_x0000_s2055"/>
                </a:ext>
                <a:ext uri="{FF2B5EF4-FFF2-40B4-BE49-F238E27FC236}">
                  <a16:creationId xmlns:a16="http://schemas.microsoft.com/office/drawing/2014/main" id="{00000000-0008-0000-0200-000007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43</xdr:row>
          <xdr:rowOff>19050</xdr:rowOff>
        </xdr:from>
        <xdr:to>
          <xdr:col>0</xdr:col>
          <xdr:colOff>0</xdr:colOff>
          <xdr:row>49</xdr:row>
          <xdr:rowOff>19050</xdr:rowOff>
        </xdr:to>
        <xdr:sp macro="" textlink="">
          <xdr:nvSpPr>
            <xdr:cNvPr id="2056" name="Object 4" hidden="1">
              <a:extLst>
                <a:ext uri="{63B3BB69-23CF-44E3-9099-C40C66FF867C}">
                  <a14:compatExt spid="_x0000_s2056"/>
                </a:ext>
                <a:ext uri="{FF2B5EF4-FFF2-40B4-BE49-F238E27FC236}">
                  <a16:creationId xmlns:a16="http://schemas.microsoft.com/office/drawing/2014/main" id="{00000000-0008-0000-0200-000008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oneCellAnchor>
    <xdr:from>
      <xdr:col>8</xdr:col>
      <xdr:colOff>23019</xdr:colOff>
      <xdr:row>10</xdr:row>
      <xdr:rowOff>98425</xdr:rowOff>
    </xdr:from>
    <xdr:ext cx="65" cy="172227"/>
    <xdr:sp macro="" textlink="">
      <xdr:nvSpPr>
        <xdr:cNvPr id="2" name="pole tekstowe 1">
          <a:extLst>
            <a:ext uri="{FF2B5EF4-FFF2-40B4-BE49-F238E27FC236}">
              <a16:creationId xmlns:a16="http://schemas.microsoft.com/office/drawing/2014/main" id="{00000000-0008-0000-0100-000002000000}"/>
            </a:ext>
          </a:extLst>
        </xdr:cNvPr>
        <xdr:cNvSpPr txBox="1"/>
      </xdr:nvSpPr>
      <xdr:spPr>
        <a:xfrm>
          <a:off x="5658644" y="1685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pl-PL" sz="1100"/>
        </a:p>
      </xdr:txBody>
    </xdr:sp>
    <xdr:clientData/>
  </xdr:oneCellAnchor>
  <xdr:twoCellAnchor>
    <xdr:from>
      <xdr:col>22</xdr:col>
      <xdr:colOff>289717</xdr:colOff>
      <xdr:row>1</xdr:row>
      <xdr:rowOff>65087</xdr:rowOff>
    </xdr:from>
    <xdr:to>
      <xdr:col>29</xdr:col>
      <xdr:colOff>83342</xdr:colOff>
      <xdr:row>21</xdr:row>
      <xdr:rowOff>0</xdr:rowOff>
    </xdr:to>
    <xdr:graphicFrame macro="">
      <xdr:nvGraphicFramePr>
        <xdr:cNvPr id="3" name="Wykres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285749</xdr:colOff>
      <xdr:row>1</xdr:row>
      <xdr:rowOff>123825</xdr:rowOff>
    </xdr:from>
    <xdr:to>
      <xdr:col>12</xdr:col>
      <xdr:colOff>657224</xdr:colOff>
      <xdr:row>5</xdr:row>
      <xdr:rowOff>9524</xdr:rowOff>
    </xdr:to>
    <xdr:sp macro="" textlink="">
      <xdr:nvSpPr>
        <xdr:cNvPr id="2" name="Text Box 1">
          <a:extLst>
            <a:ext uri="{FF2B5EF4-FFF2-40B4-BE49-F238E27FC236}">
              <a16:creationId xmlns:a16="http://schemas.microsoft.com/office/drawing/2014/main" id="{00000000-0008-0000-0200-000002000000}"/>
            </a:ext>
          </a:extLst>
        </xdr:cNvPr>
        <xdr:cNvSpPr txBox="1">
          <a:spLocks noChangeArrowheads="1"/>
        </xdr:cNvSpPr>
      </xdr:nvSpPr>
      <xdr:spPr bwMode="auto">
        <a:xfrm>
          <a:off x="3981449" y="285750"/>
          <a:ext cx="5172075" cy="1352549"/>
        </a:xfrm>
        <a:prstGeom prst="rect">
          <a:avLst/>
        </a:prstGeom>
        <a:solidFill>
          <a:srgbClr val="FFC000"/>
        </a:solidFill>
        <a:ln w="9525">
          <a:solidFill>
            <a:srgbClr val="000000"/>
          </a:solidFill>
          <a:miter lim="800000"/>
          <a:headEnd/>
          <a:tailEnd/>
        </a:ln>
      </xdr:spPr>
      <xdr:txBody>
        <a:bodyPr vertOverflow="clip" wrap="square" lIns="27432" tIns="22860" rIns="0" bIns="0" anchor="t" upright="1"/>
        <a:lstStyle/>
        <a:p>
          <a:pPr algn="l" rtl="0">
            <a:defRPr sz="1000"/>
          </a:pPr>
          <a:r>
            <a:rPr lang="pl-PL" sz="1000" b="0" i="0" u="none" strike="noStrike" baseline="0">
              <a:solidFill>
                <a:srgbClr val="000000"/>
              </a:solidFill>
              <a:latin typeface="Arial CE"/>
              <a:cs typeface="Arial CE"/>
            </a:rPr>
            <a:t>1. Oszacuj parametry modelu liniowego opisującego zależność ceny produkcji od pozostałych parametrów.</a:t>
          </a:r>
        </a:p>
        <a:p>
          <a:pPr algn="l" rtl="0">
            <a:defRPr sz="1000"/>
          </a:pPr>
          <a:r>
            <a:rPr lang="pl-PL" sz="1000" b="0" i="0" u="none" strike="noStrike" baseline="0">
              <a:solidFill>
                <a:srgbClr val="000000"/>
              </a:solidFill>
              <a:latin typeface="Arial CE"/>
              <a:cs typeface="Arial CE"/>
            </a:rPr>
            <a:t>2. Jaki będzie poziom cen produkcji budowlano-montażowej, jeżeli przeciętne wynagrodzenie brutto wyniesie 2450 zł., wskaźnik cen towarów i usług konsumpcyjnych będzie kształtował się na poziomie 172,0 pkt., zaś 100 dolarów będzie kosztować 317,5 pln?</a:t>
          </a:r>
        </a:p>
        <a:p>
          <a:pPr algn="l" rtl="0">
            <a:defRPr sz="1000"/>
          </a:pPr>
          <a:r>
            <a:rPr lang="pl-PL" sz="1000" b="0" i="0" u="none" strike="noStrike" baseline="0">
              <a:solidFill>
                <a:srgbClr val="000000"/>
              </a:solidFill>
              <a:latin typeface="Arial CE"/>
              <a:cs typeface="Arial CE"/>
            </a:rPr>
            <a:t>3. Oceń jakość otrzymanego modelu. W tym celu wyznacz współczynnik determinacji</a:t>
          </a:r>
        </a:p>
      </xdr:txBody>
    </xdr:sp>
    <xdr:clientData/>
  </xdr:twoCellAnchor>
</xdr:wsDr>
</file>

<file path=xl/theme/theme1.xml><?xml version="1.0" encoding="utf-8"?>
<a:theme xmlns:a="http://schemas.openxmlformats.org/drawingml/2006/main" name="Office Theme 2007 - 2010">
  <a:themeElements>
    <a:clrScheme name="Pakiet 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2007–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image" Target="../media/image1.emf"/><Relationship Id="rId3" Type="http://schemas.openxmlformats.org/officeDocument/2006/relationships/vmlDrawing" Target="../drawings/vmlDrawing2.vml"/><Relationship Id="rId7" Type="http://schemas.openxmlformats.org/officeDocument/2006/relationships/image" Target="../media/image4.emf"/><Relationship Id="rId12" Type="http://schemas.openxmlformats.org/officeDocument/2006/relationships/oleObject" Target="../embeddings/oleObject7.bin"/><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5" Type="http://schemas.openxmlformats.org/officeDocument/2006/relationships/image" Target="../media/image2.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 Id="rId14" Type="http://schemas.openxmlformats.org/officeDocument/2006/relationships/oleObject" Target="../embeddings/oleObject8.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8:K72"/>
  <sheetViews>
    <sheetView topLeftCell="A49" zoomScale="120" zoomScaleNormal="120" workbookViewId="0">
      <selection activeCell="K63" sqref="K63"/>
    </sheetView>
  </sheetViews>
  <sheetFormatPr defaultRowHeight="12.75"/>
  <cols>
    <col min="1" max="2" width="9" style="1"/>
    <col min="3" max="3" width="11.5" style="1" customWidth="1"/>
    <col min="4" max="4" width="11.75" style="1" customWidth="1"/>
    <col min="5" max="5" width="11.375" style="1" customWidth="1"/>
    <col min="6" max="6" width="10.75" style="1" customWidth="1"/>
    <col min="7" max="7" width="8" style="1" customWidth="1"/>
    <col min="8" max="8" width="7.375" style="1" customWidth="1"/>
    <col min="9" max="9" width="12" style="1" customWidth="1"/>
    <col min="10" max="10" width="5.625" style="1" customWidth="1"/>
    <col min="11" max="11" width="10.875" style="1" customWidth="1"/>
    <col min="12" max="12" width="6.125" style="1" customWidth="1"/>
    <col min="13" max="21" width="4.625" style="1" customWidth="1"/>
    <col min="22" max="16384" width="9" style="1"/>
  </cols>
  <sheetData>
    <row r="8" spans="2:10" ht="25.5">
      <c r="B8" s="29" t="s">
        <v>3</v>
      </c>
      <c r="C8" s="29" t="s">
        <v>2</v>
      </c>
      <c r="D8" s="29" t="s">
        <v>1</v>
      </c>
      <c r="E8" s="29" t="s">
        <v>0</v>
      </c>
    </row>
    <row r="9" spans="2:10">
      <c r="B9" s="3">
        <v>1</v>
      </c>
      <c r="C9" s="3">
        <v>-6.4</v>
      </c>
      <c r="D9" s="3">
        <v>2</v>
      </c>
      <c r="E9" s="3">
        <v>-2</v>
      </c>
    </row>
    <row r="10" spans="2:10">
      <c r="B10" s="3">
        <v>2</v>
      </c>
      <c r="C10" s="3">
        <v>0.4</v>
      </c>
      <c r="D10" s="3">
        <v>0</v>
      </c>
      <c r="E10" s="3">
        <v>0</v>
      </c>
    </row>
    <row r="11" spans="2:10">
      <c r="B11" s="3">
        <v>3</v>
      </c>
      <c r="C11" s="3">
        <v>-3.1</v>
      </c>
      <c r="D11" s="3">
        <v>0</v>
      </c>
      <c r="E11" s="3">
        <v>-2</v>
      </c>
    </row>
    <row r="12" spans="2:10">
      <c r="B12" s="3">
        <v>4</v>
      </c>
      <c r="C12" s="3">
        <v>-4.3</v>
      </c>
      <c r="D12" s="3">
        <v>3</v>
      </c>
      <c r="E12" s="3">
        <v>0</v>
      </c>
      <c r="J12" s="48"/>
    </row>
    <row r="13" spans="2:10">
      <c r="B13" s="3">
        <v>5</v>
      </c>
      <c r="C13" s="3">
        <v>0.4</v>
      </c>
      <c r="D13" s="3">
        <v>1</v>
      </c>
      <c r="E13" s="3">
        <v>1</v>
      </c>
    </row>
    <row r="14" spans="2:10">
      <c r="B14" s="3">
        <v>6</v>
      </c>
      <c r="C14" s="3">
        <v>-1.4</v>
      </c>
      <c r="D14" s="3">
        <v>2</v>
      </c>
      <c r="E14" s="3">
        <v>1</v>
      </c>
    </row>
    <row r="15" spans="2:10">
      <c r="B15" s="3">
        <v>7</v>
      </c>
      <c r="C15" s="3">
        <v>0.3</v>
      </c>
      <c r="D15" s="3">
        <v>2</v>
      </c>
      <c r="E15" s="3">
        <v>2</v>
      </c>
    </row>
    <row r="16" spans="2:10">
      <c r="B16" s="3">
        <v>8</v>
      </c>
      <c r="C16" s="3">
        <v>-0.9</v>
      </c>
      <c r="D16" s="3">
        <v>3</v>
      </c>
      <c r="E16" s="3">
        <v>2</v>
      </c>
    </row>
    <row r="17" spans="2:5">
      <c r="B17" s="3">
        <v>9</v>
      </c>
      <c r="C17" s="3">
        <v>1</v>
      </c>
      <c r="D17" s="3">
        <v>3</v>
      </c>
      <c r="E17" s="3">
        <v>3</v>
      </c>
    </row>
    <row r="18" spans="2:5">
      <c r="B18" s="3">
        <v>10</v>
      </c>
      <c r="C18" s="3">
        <v>1</v>
      </c>
      <c r="D18" s="3">
        <v>2</v>
      </c>
      <c r="E18" s="3">
        <v>2</v>
      </c>
    </row>
    <row r="19" spans="2:5">
      <c r="B19" s="3">
        <v>11</v>
      </c>
      <c r="C19" s="3">
        <v>2</v>
      </c>
      <c r="D19" s="3">
        <v>4</v>
      </c>
      <c r="E19" s="3">
        <v>4</v>
      </c>
    </row>
    <row r="20" spans="2:5">
      <c r="B20" s="1" t="s">
        <v>12</v>
      </c>
      <c r="C20" s="5">
        <f>AVERAGE(C9:C19)</f>
        <v>-0.99999999999999989</v>
      </c>
    </row>
    <row r="31" spans="2:5" ht="13.5" thickBot="1"/>
    <row r="32" spans="2:5" ht="38.25">
      <c r="B32" s="64" t="s">
        <v>2</v>
      </c>
      <c r="C32" s="56" t="s">
        <v>1</v>
      </c>
      <c r="D32" s="57" t="s">
        <v>0</v>
      </c>
    </row>
    <row r="33" spans="1:9">
      <c r="B33" s="70" t="s">
        <v>16</v>
      </c>
      <c r="C33" s="58" t="s">
        <v>67</v>
      </c>
      <c r="D33" s="59" t="s">
        <v>25</v>
      </c>
    </row>
    <row r="34" spans="1:9">
      <c r="B34" s="71">
        <v>-6.4</v>
      </c>
      <c r="C34" s="60">
        <v>2</v>
      </c>
      <c r="D34" s="61">
        <v>-2</v>
      </c>
    </row>
    <row r="35" spans="1:9">
      <c r="B35" s="71">
        <v>0.4</v>
      </c>
      <c r="C35" s="60">
        <v>0</v>
      </c>
      <c r="D35" s="61">
        <v>0</v>
      </c>
      <c r="H35" s="42"/>
    </row>
    <row r="36" spans="1:9">
      <c r="B36" s="71">
        <v>-3.1</v>
      </c>
      <c r="C36" s="60">
        <v>0</v>
      </c>
      <c r="D36" s="61">
        <v>-2</v>
      </c>
    </row>
    <row r="37" spans="1:9">
      <c r="B37" s="71">
        <v>-4.3</v>
      </c>
      <c r="C37" s="60">
        <v>3</v>
      </c>
      <c r="D37" s="61">
        <v>0</v>
      </c>
    </row>
    <row r="38" spans="1:9">
      <c r="B38" s="71">
        <v>0.4</v>
      </c>
      <c r="C38" s="60">
        <v>1</v>
      </c>
      <c r="D38" s="61">
        <v>1</v>
      </c>
    </row>
    <row r="39" spans="1:9">
      <c r="B39" s="71">
        <v>-1.4</v>
      </c>
      <c r="C39" s="60">
        <v>2</v>
      </c>
      <c r="D39" s="61">
        <v>1</v>
      </c>
      <c r="H39" s="42"/>
    </row>
    <row r="40" spans="1:9">
      <c r="B40" s="71">
        <v>0.3</v>
      </c>
      <c r="C40" s="60">
        <v>2</v>
      </c>
      <c r="D40" s="61">
        <v>2</v>
      </c>
    </row>
    <row r="41" spans="1:9">
      <c r="B41" s="71">
        <v>-0.9</v>
      </c>
      <c r="C41" s="60">
        <v>3</v>
      </c>
      <c r="D41" s="61">
        <v>2</v>
      </c>
    </row>
    <row r="42" spans="1:9">
      <c r="B42" s="71">
        <v>1</v>
      </c>
      <c r="C42" s="60">
        <v>3</v>
      </c>
      <c r="D42" s="61">
        <v>3</v>
      </c>
    </row>
    <row r="43" spans="1:9">
      <c r="B43" s="71">
        <v>1</v>
      </c>
      <c r="C43" s="60">
        <v>2</v>
      </c>
      <c r="D43" s="61">
        <v>2</v>
      </c>
      <c r="H43" s="42"/>
    </row>
    <row r="44" spans="1:9" ht="13.5" thickBot="1">
      <c r="B44" s="72">
        <v>2</v>
      </c>
      <c r="C44" s="62">
        <v>4</v>
      </c>
      <c r="D44" s="63">
        <v>4</v>
      </c>
    </row>
    <row r="48" spans="1:9">
      <c r="A48" s="1" t="s">
        <v>85</v>
      </c>
      <c r="I48" s="42"/>
    </row>
    <row r="49" spans="1:11">
      <c r="A49" s="46" t="s">
        <v>71</v>
      </c>
      <c r="B49" s="46" t="s">
        <v>70</v>
      </c>
      <c r="C49" s="46" t="s">
        <v>69</v>
      </c>
    </row>
    <row r="50" spans="1:11">
      <c r="A50" s="73" cm="1">
        <f t="array" ref="A50:C50">LINEST(B34:B44,C34:D44)</f>
        <v>1.8</v>
      </c>
      <c r="B50" s="73">
        <v>-1.5000000000000002</v>
      </c>
      <c r="C50" s="73">
        <v>0.2000000000000004</v>
      </c>
    </row>
    <row r="52" spans="1:11">
      <c r="A52" s="1" t="s">
        <v>14</v>
      </c>
    </row>
    <row r="53" spans="1:11">
      <c r="A53" s="2" t="s">
        <v>17</v>
      </c>
      <c r="B53" s="2"/>
    </row>
    <row r="55" spans="1:11">
      <c r="A55" s="1" t="s">
        <v>86</v>
      </c>
    </row>
    <row r="56" spans="1:11" ht="38.25">
      <c r="A56" s="29" t="s">
        <v>1</v>
      </c>
      <c r="B56" s="29" t="s">
        <v>0</v>
      </c>
      <c r="C56" s="43" t="s">
        <v>66</v>
      </c>
    </row>
    <row r="57" spans="1:11">
      <c r="A57" s="3">
        <v>4</v>
      </c>
      <c r="B57" s="3">
        <v>1</v>
      </c>
      <c r="C57" s="4">
        <f>C50+B50*A57+A50*B57</f>
        <v>-4.0000000000000009</v>
      </c>
    </row>
    <row r="60" spans="1:11" ht="25.5">
      <c r="B60" s="29" t="s">
        <v>3</v>
      </c>
      <c r="C60" s="29" t="s">
        <v>2</v>
      </c>
      <c r="D60" s="29" t="s">
        <v>1</v>
      </c>
      <c r="E60" s="29" t="s">
        <v>0</v>
      </c>
      <c r="F60" s="30" t="s">
        <v>21</v>
      </c>
      <c r="G60" s="30" t="s">
        <v>18</v>
      </c>
      <c r="H60" s="30" t="s">
        <v>9</v>
      </c>
    </row>
    <row r="61" spans="1:11">
      <c r="B61" s="3">
        <v>1</v>
      </c>
      <c r="C61" s="3">
        <v>-6.4</v>
      </c>
      <c r="D61" s="3">
        <v>2</v>
      </c>
      <c r="E61" s="3">
        <v>-2</v>
      </c>
      <c r="F61" s="3">
        <f>$C$50+$B$50*D61+$A$50*E61</f>
        <v>-6.4</v>
      </c>
      <c r="G61" s="3">
        <f>(C61-F61)^2</f>
        <v>0</v>
      </c>
      <c r="H61" s="3">
        <f>(C61-$C$20)^2</f>
        <v>29.160000000000004</v>
      </c>
    </row>
    <row r="62" spans="1:11">
      <c r="B62" s="3">
        <v>2</v>
      </c>
      <c r="C62" s="3">
        <v>0.4</v>
      </c>
      <c r="D62" s="3">
        <v>0</v>
      </c>
      <c r="E62" s="3">
        <v>0</v>
      </c>
      <c r="F62" s="3">
        <f t="shared" ref="F62:F71" si="0">$C$50+$B$50*D62+$A$50*E62</f>
        <v>0.2000000000000004</v>
      </c>
      <c r="G62" s="3">
        <f t="shared" ref="G62:G71" si="1">(C62-F62)^2</f>
        <v>3.9999999999999848E-2</v>
      </c>
      <c r="H62" s="3">
        <f t="shared" ref="H62:H71" si="2">(C62-$C$20)^2</f>
        <v>1.9599999999999997</v>
      </c>
    </row>
    <row r="63" spans="1:11" ht="23.25">
      <c r="B63" s="3">
        <v>3</v>
      </c>
      <c r="C63" s="3">
        <v>-3.1</v>
      </c>
      <c r="D63" s="3">
        <v>0</v>
      </c>
      <c r="E63" s="3">
        <v>-2</v>
      </c>
      <c r="F63" s="3">
        <f t="shared" si="0"/>
        <v>-3.3999999999999995</v>
      </c>
      <c r="G63" s="3">
        <f t="shared" si="1"/>
        <v>8.9999999999999622E-2</v>
      </c>
      <c r="H63" s="3">
        <f t="shared" si="2"/>
        <v>4.41</v>
      </c>
      <c r="J63" s="49" t="s">
        <v>19</v>
      </c>
      <c r="K63" s="50">
        <f>1-G72/H72</f>
        <v>0.98512790005948836</v>
      </c>
    </row>
    <row r="64" spans="1:11">
      <c r="B64" s="3">
        <v>4</v>
      </c>
      <c r="C64" s="3">
        <v>-4.3</v>
      </c>
      <c r="D64" s="3">
        <v>3</v>
      </c>
      <c r="E64" s="3">
        <v>0</v>
      </c>
      <c r="F64" s="3">
        <f t="shared" si="0"/>
        <v>-4.3000000000000007</v>
      </c>
      <c r="G64" s="3">
        <f t="shared" si="1"/>
        <v>7.8886090522101181E-31</v>
      </c>
      <c r="H64" s="3">
        <f t="shared" si="2"/>
        <v>10.889999999999999</v>
      </c>
    </row>
    <row r="65" spans="2:8">
      <c r="B65" s="3">
        <v>5</v>
      </c>
      <c r="C65" s="3">
        <v>0.4</v>
      </c>
      <c r="D65" s="3">
        <v>1</v>
      </c>
      <c r="E65" s="3">
        <v>1</v>
      </c>
      <c r="F65" s="3">
        <f t="shared" si="0"/>
        <v>0.50000000000000022</v>
      </c>
      <c r="G65" s="3">
        <f t="shared" si="1"/>
        <v>1.000000000000004E-2</v>
      </c>
      <c r="H65" s="3">
        <f t="shared" si="2"/>
        <v>1.9599999999999997</v>
      </c>
    </row>
    <row r="66" spans="2:8">
      <c r="B66" s="3">
        <v>6</v>
      </c>
      <c r="C66" s="3">
        <v>-1.4</v>
      </c>
      <c r="D66" s="3">
        <v>2</v>
      </c>
      <c r="E66" s="3">
        <v>1</v>
      </c>
      <c r="F66" s="3">
        <f t="shared" si="0"/>
        <v>-0.99999999999999978</v>
      </c>
      <c r="G66" s="3">
        <f t="shared" si="1"/>
        <v>0.16000000000000011</v>
      </c>
      <c r="H66" s="3">
        <f t="shared" si="2"/>
        <v>0.16000000000000003</v>
      </c>
    </row>
    <row r="67" spans="2:8">
      <c r="B67" s="3">
        <v>7</v>
      </c>
      <c r="C67" s="3">
        <v>0.3</v>
      </c>
      <c r="D67" s="3">
        <v>2</v>
      </c>
      <c r="E67" s="3">
        <v>2</v>
      </c>
      <c r="F67" s="3">
        <f t="shared" si="0"/>
        <v>0.80000000000000027</v>
      </c>
      <c r="G67" s="3">
        <f t="shared" si="1"/>
        <v>0.25000000000000022</v>
      </c>
      <c r="H67" s="3">
        <f t="shared" si="2"/>
        <v>1.6899999999999995</v>
      </c>
    </row>
    <row r="68" spans="2:8">
      <c r="B68" s="3">
        <v>8</v>
      </c>
      <c r="C68" s="3">
        <v>-0.9</v>
      </c>
      <c r="D68" s="3">
        <v>3</v>
      </c>
      <c r="E68" s="3">
        <v>2</v>
      </c>
      <c r="F68" s="3">
        <f t="shared" si="0"/>
        <v>-0.70000000000000062</v>
      </c>
      <c r="G68" s="3">
        <f t="shared" si="1"/>
        <v>3.9999999999999758E-2</v>
      </c>
      <c r="H68" s="3">
        <f t="shared" si="2"/>
        <v>9.9999999999999742E-3</v>
      </c>
    </row>
    <row r="69" spans="2:8">
      <c r="B69" s="3">
        <v>9</v>
      </c>
      <c r="C69" s="3">
        <v>1</v>
      </c>
      <c r="D69" s="3">
        <v>3</v>
      </c>
      <c r="E69" s="3">
        <v>3</v>
      </c>
      <c r="F69" s="3">
        <f t="shared" si="0"/>
        <v>1.0999999999999996</v>
      </c>
      <c r="G69" s="3">
        <f t="shared" si="1"/>
        <v>9.9999999999999291E-3</v>
      </c>
      <c r="H69" s="3">
        <f t="shared" si="2"/>
        <v>4</v>
      </c>
    </row>
    <row r="70" spans="2:8">
      <c r="B70" s="3">
        <v>10</v>
      </c>
      <c r="C70" s="3">
        <v>1</v>
      </c>
      <c r="D70" s="3">
        <v>2</v>
      </c>
      <c r="E70" s="3">
        <v>2</v>
      </c>
      <c r="F70" s="3">
        <f t="shared" si="0"/>
        <v>0.80000000000000027</v>
      </c>
      <c r="G70" s="3">
        <f t="shared" si="1"/>
        <v>3.9999999999999897E-2</v>
      </c>
      <c r="H70" s="3">
        <f t="shared" si="2"/>
        <v>4</v>
      </c>
    </row>
    <row r="71" spans="2:8">
      <c r="B71" s="3">
        <v>11</v>
      </c>
      <c r="C71" s="3">
        <v>2</v>
      </c>
      <c r="D71" s="3">
        <v>4</v>
      </c>
      <c r="E71" s="3">
        <v>4</v>
      </c>
      <c r="F71" s="3">
        <f t="shared" si="0"/>
        <v>1.3999999999999995</v>
      </c>
      <c r="G71" s="3">
        <f t="shared" si="1"/>
        <v>0.36000000000000065</v>
      </c>
      <c r="H71" s="3">
        <f t="shared" si="2"/>
        <v>9</v>
      </c>
    </row>
    <row r="72" spans="2:8">
      <c r="B72" s="1" t="s">
        <v>12</v>
      </c>
      <c r="C72" s="5">
        <f>AVERAGE(C61:C71)</f>
        <v>-0.99999999999999989</v>
      </c>
      <c r="F72" s="1" t="s">
        <v>15</v>
      </c>
      <c r="G72" s="5">
        <f>SUM(G61:G71)</f>
        <v>1</v>
      </c>
      <c r="H72" s="5">
        <f>SUM(H61:H71)</f>
        <v>67.239999999999995</v>
      </c>
    </row>
  </sheetData>
  <pageMargins left="0.75" right="0.75" top="1" bottom="1" header="0.5" footer="0.5"/>
  <pageSetup paperSize="9" orientation="portrait" horizontalDpi="4294967293" r:id="rId1"/>
  <headerFooter alignWithMargins="0"/>
  <drawing r:id="rId2"/>
  <legacyDrawing r:id="rId3"/>
  <oleObjects>
    <mc:AlternateContent xmlns:mc="http://schemas.openxmlformats.org/markup-compatibility/2006">
      <mc:Choice Requires="x14">
        <oleObject progId="Equation.3" shapeId="3077" r:id="rId4">
          <objectPr defaultSize="0" autoPict="0" r:id="rId5">
            <anchor moveWithCells="1" sizeWithCells="1">
              <from>
                <xdr:col>2</xdr:col>
                <xdr:colOff>47625</xdr:colOff>
                <xdr:row>31</xdr:row>
                <xdr:rowOff>0</xdr:rowOff>
              </from>
              <to>
                <xdr:col>3</xdr:col>
                <xdr:colOff>866775</xdr:colOff>
                <xdr:row>31</xdr:row>
                <xdr:rowOff>0</xdr:rowOff>
              </to>
            </anchor>
          </objectPr>
        </oleObject>
      </mc:Choice>
      <mc:Fallback>
        <oleObject progId="Equation.3" shapeId="3077" r:id="rId4"/>
      </mc:Fallback>
    </mc:AlternateContent>
    <mc:AlternateContent xmlns:mc="http://schemas.openxmlformats.org/markup-compatibility/2006">
      <mc:Choice Requires="x14">
        <oleObject progId="Equation.3" shapeId="3082" r:id="rId6">
          <objectPr defaultSize="0" autoPict="0" r:id="rId7">
            <anchor moveWithCells="1" sizeWithCells="1">
              <from>
                <xdr:col>8</xdr:col>
                <xdr:colOff>676275</xdr:colOff>
                <xdr:row>51</xdr:row>
                <xdr:rowOff>28575</xdr:rowOff>
              </from>
              <to>
                <xdr:col>16</xdr:col>
                <xdr:colOff>180975</xdr:colOff>
                <xdr:row>59</xdr:row>
                <xdr:rowOff>133350</xdr:rowOff>
              </to>
            </anchor>
          </objectPr>
        </oleObject>
      </mc:Choice>
      <mc:Fallback>
        <oleObject progId="Equation.3" shapeId="3082" r:id="rId6"/>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2"/>
  <sheetViews>
    <sheetView topLeftCell="A12" zoomScale="120" zoomScaleNormal="120" workbookViewId="0">
      <selection activeCell="E32" sqref="E32"/>
    </sheetView>
  </sheetViews>
  <sheetFormatPr defaultRowHeight="12.75"/>
  <cols>
    <col min="1" max="1" width="14.75" style="1" customWidth="1"/>
    <col min="2" max="2" width="9" style="1"/>
    <col min="3" max="3" width="11.125" style="1" customWidth="1"/>
    <col min="4" max="4" width="9.625" style="1" customWidth="1"/>
    <col min="5" max="5" width="8.75" style="1" customWidth="1"/>
    <col min="6" max="6" width="9.25" style="1" customWidth="1"/>
    <col min="7" max="7" width="4.5" style="1" bestFit="1" customWidth="1"/>
    <col min="8" max="8" width="7" style="1" customWidth="1"/>
    <col min="9" max="9" width="14.75" style="1" customWidth="1"/>
    <col min="10" max="10" width="6.125" style="1" customWidth="1"/>
    <col min="11" max="11" width="5.75" style="1" customWidth="1"/>
    <col min="12" max="12" width="4.75" style="1" bestFit="1" customWidth="1"/>
    <col min="13" max="16" width="2.625" style="1" bestFit="1" customWidth="1"/>
    <col min="17" max="20" width="9" style="1"/>
    <col min="21" max="21" width="12.375" style="1" customWidth="1"/>
    <col min="22" max="16384" width="9" style="1"/>
  </cols>
  <sheetData>
    <row r="1" spans="1:25" ht="51.75" customHeight="1">
      <c r="T1" s="54" t="s">
        <v>74</v>
      </c>
      <c r="U1" s="54"/>
      <c r="V1" s="54"/>
      <c r="W1" s="54"/>
      <c r="X1" s="54"/>
      <c r="Y1" s="54"/>
    </row>
    <row r="2" spans="1:25">
      <c r="A2" s="1" t="s">
        <v>4</v>
      </c>
      <c r="T2" s="3" t="s">
        <v>7</v>
      </c>
      <c r="U2" s="3" t="s">
        <v>10</v>
      </c>
    </row>
    <row r="3" spans="1:25">
      <c r="T3" s="3">
        <v>1</v>
      </c>
      <c r="U3" s="3">
        <v>13</v>
      </c>
    </row>
    <row r="4" spans="1:25">
      <c r="A4" s="3" t="s">
        <v>5</v>
      </c>
      <c r="B4" s="46">
        <v>1988</v>
      </c>
      <c r="C4" s="46">
        <v>1989</v>
      </c>
      <c r="D4" s="46">
        <v>1990</v>
      </c>
      <c r="E4" s="46">
        <v>1991</v>
      </c>
      <c r="F4" s="46">
        <v>1992</v>
      </c>
      <c r="G4" s="46">
        <v>1993</v>
      </c>
      <c r="H4" s="46">
        <v>1994</v>
      </c>
      <c r="T4" s="3">
        <v>2</v>
      </c>
      <c r="U4" s="3">
        <v>16</v>
      </c>
    </row>
    <row r="5" spans="1:25">
      <c r="A5" s="3" t="s">
        <v>6</v>
      </c>
      <c r="B5" s="46">
        <v>13</v>
      </c>
      <c r="C5" s="46">
        <v>16</v>
      </c>
      <c r="D5" s="46">
        <v>15</v>
      </c>
      <c r="E5" s="46">
        <v>17</v>
      </c>
      <c r="F5" s="46">
        <v>20</v>
      </c>
      <c r="G5" s="46">
        <v>27</v>
      </c>
      <c r="H5" s="46">
        <v>32</v>
      </c>
      <c r="T5" s="3">
        <v>3</v>
      </c>
      <c r="U5" s="3">
        <v>15</v>
      </c>
    </row>
    <row r="6" spans="1:25">
      <c r="A6" s="1" t="s">
        <v>23</v>
      </c>
      <c r="T6" s="3">
        <v>4</v>
      </c>
      <c r="U6" s="3">
        <v>17</v>
      </c>
    </row>
    <row r="7" spans="1:25">
      <c r="A7" s="1" t="s">
        <v>24</v>
      </c>
      <c r="T7" s="3">
        <v>5</v>
      </c>
      <c r="U7" s="3">
        <v>20</v>
      </c>
    </row>
    <row r="8" spans="1:25">
      <c r="T8" s="3">
        <v>6</v>
      </c>
      <c r="U8" s="3">
        <v>27</v>
      </c>
    </row>
    <row r="9" spans="1:25">
      <c r="T9" s="3">
        <v>7</v>
      </c>
      <c r="U9" s="3">
        <v>32</v>
      </c>
    </row>
    <row r="12" spans="1:25">
      <c r="A12" s="3" t="s">
        <v>10</v>
      </c>
      <c r="B12" s="3" t="s">
        <v>7</v>
      </c>
      <c r="C12" s="3" t="s">
        <v>11</v>
      </c>
      <c r="D12" s="3" t="s">
        <v>8</v>
      </c>
      <c r="E12" s="3" t="s">
        <v>20</v>
      </c>
      <c r="F12" s="3" t="s">
        <v>9</v>
      </c>
      <c r="U12" s="48" t="s">
        <v>73</v>
      </c>
      <c r="V12" s="1">
        <f>SQRT(0.9733)</f>
        <v>0.98655967888415141</v>
      </c>
    </row>
    <row r="13" spans="1:25">
      <c r="A13" s="3">
        <v>13</v>
      </c>
      <c r="B13" s="3">
        <v>1</v>
      </c>
      <c r="C13" s="75">
        <f>B13^2</f>
        <v>1</v>
      </c>
      <c r="D13" s="3">
        <f>$B$23*C13+$C$23*B13+$D$23</f>
        <v>14.095238095238097</v>
      </c>
      <c r="E13" s="44">
        <f>(A13-D13)^2</f>
        <v>1.1995464852607742</v>
      </c>
      <c r="F13" s="3">
        <f>(A13-$A$20)^2</f>
        <v>49</v>
      </c>
      <c r="I13" s="1" t="s">
        <v>19</v>
      </c>
      <c r="J13" s="1">
        <f>1-E20/F20</f>
        <v>0.97325505544683633</v>
      </c>
    </row>
    <row r="14" spans="1:25">
      <c r="A14" s="3">
        <v>16</v>
      </c>
      <c r="B14" s="3">
        <v>2</v>
      </c>
      <c r="C14" s="75">
        <f t="shared" ref="C14:C19" si="0">B14^2</f>
        <v>4</v>
      </c>
      <c r="D14" s="3">
        <f t="shared" ref="D14:D19" si="1">$B$23*C14+$C$23*B14+$D$23</f>
        <v>14</v>
      </c>
      <c r="E14" s="44">
        <f t="shared" ref="E14:E19" si="2">(A14-D14)^2</f>
        <v>4</v>
      </c>
      <c r="F14" s="3">
        <f t="shared" ref="F14:F19" si="3">(A14-$A$20)^2</f>
        <v>16</v>
      </c>
      <c r="I14" s="1" t="s">
        <v>68</v>
      </c>
      <c r="J14" s="1">
        <f>SQRT(J13)</f>
        <v>0.98653690019524176</v>
      </c>
    </row>
    <row r="15" spans="1:25">
      <c r="A15" s="3">
        <v>15</v>
      </c>
      <c r="B15" s="3">
        <v>3</v>
      </c>
      <c r="C15" s="75">
        <f t="shared" si="0"/>
        <v>9</v>
      </c>
      <c r="D15" s="3">
        <f t="shared" si="1"/>
        <v>15.142857142857142</v>
      </c>
      <c r="E15" s="44">
        <f t="shared" si="2"/>
        <v>2.0408163265305979E-2</v>
      </c>
      <c r="F15" s="3">
        <f t="shared" si="3"/>
        <v>25</v>
      </c>
      <c r="J15" s="1" t="s">
        <v>22</v>
      </c>
    </row>
    <row r="16" spans="1:25">
      <c r="A16" s="3">
        <v>17</v>
      </c>
      <c r="B16" s="3">
        <v>4</v>
      </c>
      <c r="C16" s="75">
        <f t="shared" si="0"/>
        <v>16</v>
      </c>
      <c r="D16" s="3">
        <f t="shared" si="1"/>
        <v>17.523809523809522</v>
      </c>
      <c r="E16" s="44">
        <f t="shared" si="2"/>
        <v>0.27437641723355816</v>
      </c>
      <c r="F16" s="3">
        <f t="shared" si="3"/>
        <v>9</v>
      </c>
    </row>
    <row r="17" spans="1:6">
      <c r="A17" s="3">
        <v>20</v>
      </c>
      <c r="B17" s="3">
        <v>5</v>
      </c>
      <c r="C17" s="75">
        <f t="shared" si="0"/>
        <v>25</v>
      </c>
      <c r="D17" s="3">
        <f t="shared" si="1"/>
        <v>21.142857142857139</v>
      </c>
      <c r="E17" s="44">
        <f t="shared" si="2"/>
        <v>1.3061224489795826</v>
      </c>
      <c r="F17" s="3">
        <f t="shared" si="3"/>
        <v>0</v>
      </c>
    </row>
    <row r="18" spans="1:6">
      <c r="A18" s="3">
        <v>27</v>
      </c>
      <c r="B18" s="3">
        <v>6</v>
      </c>
      <c r="C18" s="75">
        <f t="shared" si="0"/>
        <v>36</v>
      </c>
      <c r="D18" s="3">
        <f t="shared" si="1"/>
        <v>26</v>
      </c>
      <c r="E18" s="44">
        <f t="shared" si="2"/>
        <v>1</v>
      </c>
      <c r="F18" s="3">
        <f t="shared" si="3"/>
        <v>49</v>
      </c>
    </row>
    <row r="19" spans="1:6">
      <c r="A19" s="3">
        <v>32</v>
      </c>
      <c r="B19" s="3">
        <v>7</v>
      </c>
      <c r="C19" s="75">
        <f t="shared" si="0"/>
        <v>49</v>
      </c>
      <c r="D19" s="3">
        <f t="shared" si="1"/>
        <v>32.095238095238095</v>
      </c>
      <c r="E19" s="44">
        <f t="shared" si="2"/>
        <v>9.0702947845804349E-3</v>
      </c>
      <c r="F19" s="3">
        <f t="shared" si="3"/>
        <v>144</v>
      </c>
    </row>
    <row r="20" spans="1:6">
      <c r="A20" s="28">
        <f>AVERAGE(A13:A19)</f>
        <v>20</v>
      </c>
      <c r="D20" s="44" t="s">
        <v>15</v>
      </c>
      <c r="E20" s="45">
        <f>SUM(E13:E19)</f>
        <v>7.8095238095238013</v>
      </c>
      <c r="F20" s="28">
        <f>SUM(F13:F19)</f>
        <v>292</v>
      </c>
    </row>
    <row r="23" spans="1:6">
      <c r="A23" s="4" t="s">
        <v>83</v>
      </c>
      <c r="B23" s="53" cm="1">
        <f t="array" ref="B23:D23">LINEST(A13:A19,B13:C19)</f>
        <v>0.6190476190476194</v>
      </c>
      <c r="C23" s="53">
        <v>-1.9523809523809552</v>
      </c>
      <c r="D23" s="53">
        <v>15.428571428571432</v>
      </c>
    </row>
    <row r="24" spans="1:6">
      <c r="B24" s="55" t="s">
        <v>71</v>
      </c>
      <c r="C24" s="55" t="s">
        <v>70</v>
      </c>
      <c r="D24" s="55" t="s">
        <v>69</v>
      </c>
    </row>
    <row r="27" spans="1:6">
      <c r="A27" s="1" t="s">
        <v>14</v>
      </c>
      <c r="B27" s="42" t="s">
        <v>84</v>
      </c>
    </row>
    <row r="29" spans="1:6">
      <c r="A29" s="1" t="s">
        <v>7</v>
      </c>
      <c r="B29" s="1">
        <v>39</v>
      </c>
    </row>
    <row r="31" spans="1:6">
      <c r="B31" s="46" t="s">
        <v>7</v>
      </c>
      <c r="C31" s="46" t="s">
        <v>11</v>
      </c>
      <c r="D31" s="55" t="s">
        <v>13</v>
      </c>
    </row>
    <row r="32" spans="1:6">
      <c r="A32" s="1" t="s">
        <v>8</v>
      </c>
      <c r="B32" s="46">
        <v>39</v>
      </c>
      <c r="C32" s="46">
        <f>B32^2</f>
        <v>1521</v>
      </c>
      <c r="D32" s="76">
        <f>$D$23+$C$23*B32+ $B$23*C32</f>
        <v>880.85714285714334</v>
      </c>
    </row>
  </sheetData>
  <mergeCells count="1">
    <mergeCell ref="T1:Y1"/>
  </mergeCells>
  <pageMargins left="0.75" right="0.75" top="1" bottom="1" header="0.5" footer="0.5"/>
  <pageSetup paperSize="9" orientation="portrait" horizontalDpi="4294967293" r:id="rId1"/>
  <headerFooter alignWithMargins="0"/>
  <drawing r:id="rId2"/>
  <legacyDrawing r:id="rId3"/>
  <oleObjects>
    <mc:AlternateContent xmlns:mc="http://schemas.openxmlformats.org/markup-compatibility/2006">
      <mc:Choice Requires="x14">
        <oleObject progId="Equation.3" shapeId="2049" r:id="rId4">
          <objectPr defaultSize="0" autoPict="0" r:id="rId5">
            <anchor moveWithCells="1" sizeWithCells="1">
              <from>
                <xdr:col>0</xdr:col>
                <xdr:colOff>581025</xdr:colOff>
                <xdr:row>9</xdr:row>
                <xdr:rowOff>0</xdr:rowOff>
              </from>
              <to>
                <xdr:col>2</xdr:col>
                <xdr:colOff>342900</xdr:colOff>
                <xdr:row>9</xdr:row>
                <xdr:rowOff>0</xdr:rowOff>
              </to>
            </anchor>
          </objectPr>
        </oleObject>
      </mc:Choice>
      <mc:Fallback>
        <oleObject progId="Equation.3" shapeId="2049" r:id="rId4"/>
      </mc:Fallback>
    </mc:AlternateContent>
    <mc:AlternateContent xmlns:mc="http://schemas.openxmlformats.org/markup-compatibility/2006">
      <mc:Choice Requires="x14">
        <oleObject progId="Equation.3" shapeId="2050" r:id="rId6">
          <objectPr defaultSize="0" autoPict="0" r:id="rId7">
            <anchor moveWithCells="1" sizeWithCells="1">
              <from>
                <xdr:col>0</xdr:col>
                <xdr:colOff>161925</xdr:colOff>
                <xdr:row>9</xdr:row>
                <xdr:rowOff>0</xdr:rowOff>
              </from>
              <to>
                <xdr:col>3</xdr:col>
                <xdr:colOff>381000</xdr:colOff>
                <xdr:row>9</xdr:row>
                <xdr:rowOff>0</xdr:rowOff>
              </to>
            </anchor>
          </objectPr>
        </oleObject>
      </mc:Choice>
      <mc:Fallback>
        <oleObject progId="Equation.3" shapeId="2050" r:id="rId6"/>
      </mc:Fallback>
    </mc:AlternateContent>
    <mc:AlternateContent xmlns:mc="http://schemas.openxmlformats.org/markup-compatibility/2006">
      <mc:Choice Requires="x14">
        <oleObject progId="Equation.3" shapeId="2051" r:id="rId8">
          <objectPr defaultSize="0" autoPict="0" r:id="rId9">
            <anchor moveWithCells="1" sizeWithCells="1">
              <from>
                <xdr:col>7</xdr:col>
                <xdr:colOff>438150</xdr:colOff>
                <xdr:row>9</xdr:row>
                <xdr:rowOff>0</xdr:rowOff>
              </from>
              <to>
                <xdr:col>10</xdr:col>
                <xdr:colOff>142875</xdr:colOff>
                <xdr:row>9</xdr:row>
                <xdr:rowOff>0</xdr:rowOff>
              </to>
            </anchor>
          </objectPr>
        </oleObject>
      </mc:Choice>
      <mc:Fallback>
        <oleObject progId="Equation.3" shapeId="2051" r:id="rId8"/>
      </mc:Fallback>
    </mc:AlternateContent>
    <mc:AlternateContent xmlns:mc="http://schemas.openxmlformats.org/markup-compatibility/2006">
      <mc:Choice Requires="x14">
        <oleObject progId="Equation.3" shapeId="2052" r:id="rId10">
          <objectPr defaultSize="0" autoPict="0" r:id="rId11">
            <anchor moveWithCells="1" sizeWithCells="1">
              <from>
                <xdr:col>7</xdr:col>
                <xdr:colOff>104775</xdr:colOff>
                <xdr:row>9</xdr:row>
                <xdr:rowOff>0</xdr:rowOff>
              </from>
              <to>
                <xdr:col>10</xdr:col>
                <xdr:colOff>371475</xdr:colOff>
                <xdr:row>9</xdr:row>
                <xdr:rowOff>0</xdr:rowOff>
              </to>
            </anchor>
          </objectPr>
        </oleObject>
      </mc:Choice>
      <mc:Fallback>
        <oleObject progId="Equation.3" shapeId="2052" r:id="rId10"/>
      </mc:Fallback>
    </mc:AlternateContent>
    <mc:AlternateContent xmlns:mc="http://schemas.openxmlformats.org/markup-compatibility/2006">
      <mc:Choice Requires="x14">
        <oleObject progId="Equation.3" shapeId="2055" r:id="rId12">
          <objectPr defaultSize="0" autoPict="0" r:id="rId13">
            <anchor moveWithCells="1" sizeWithCells="1">
              <from>
                <xdr:col>0</xdr:col>
                <xdr:colOff>0</xdr:colOff>
                <xdr:row>32</xdr:row>
                <xdr:rowOff>0</xdr:rowOff>
              </from>
              <to>
                <xdr:col>0</xdr:col>
                <xdr:colOff>0</xdr:colOff>
                <xdr:row>34</xdr:row>
                <xdr:rowOff>95250</xdr:rowOff>
              </to>
            </anchor>
          </objectPr>
        </oleObject>
      </mc:Choice>
      <mc:Fallback>
        <oleObject progId="Equation.3" shapeId="2055" r:id="rId12"/>
      </mc:Fallback>
    </mc:AlternateContent>
    <mc:AlternateContent xmlns:mc="http://schemas.openxmlformats.org/markup-compatibility/2006">
      <mc:Choice Requires="x14">
        <oleObject progId="Equation.3" shapeId="2056" r:id="rId14">
          <objectPr defaultSize="0" autoPict="0" r:id="rId15">
            <anchor moveWithCells="1" sizeWithCells="1">
              <from>
                <xdr:col>0</xdr:col>
                <xdr:colOff>0</xdr:colOff>
                <xdr:row>43</xdr:row>
                <xdr:rowOff>19050</xdr:rowOff>
              </from>
              <to>
                <xdr:col>0</xdr:col>
                <xdr:colOff>0</xdr:colOff>
                <xdr:row>49</xdr:row>
                <xdr:rowOff>19050</xdr:rowOff>
              </to>
            </anchor>
          </objectPr>
        </oleObject>
      </mc:Choice>
      <mc:Fallback>
        <oleObject progId="Equation.3" shapeId="2056" r:id="rId1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9"/>
  <sheetViews>
    <sheetView tabSelected="1" zoomScale="120" zoomScaleNormal="120" workbookViewId="0">
      <selection activeCell="K10" sqref="K10"/>
    </sheetView>
  </sheetViews>
  <sheetFormatPr defaultRowHeight="12.75"/>
  <cols>
    <col min="1" max="1" width="9" style="6"/>
    <col min="2" max="2" width="9.25" style="6" customWidth="1"/>
    <col min="3" max="3" width="14.75" style="6" customWidth="1"/>
    <col min="4" max="4" width="10.875" style="6" customWidth="1"/>
    <col min="5" max="16384" width="9" style="6"/>
  </cols>
  <sheetData>
    <row r="1" spans="1:5">
      <c r="B1" s="7" t="s">
        <v>13</v>
      </c>
      <c r="C1" s="8" t="s">
        <v>67</v>
      </c>
      <c r="D1" s="8" t="s">
        <v>25</v>
      </c>
      <c r="E1" s="8" t="s">
        <v>26</v>
      </c>
    </row>
    <row r="2" spans="1:5" ht="22.5">
      <c r="B2" s="9" t="s">
        <v>27</v>
      </c>
      <c r="C2" s="10" t="s">
        <v>28</v>
      </c>
      <c r="D2" s="9" t="s">
        <v>27</v>
      </c>
      <c r="E2" s="10" t="s">
        <v>28</v>
      </c>
    </row>
    <row r="3" spans="1:5" ht="67.5" customHeight="1">
      <c r="B3" s="31" t="s">
        <v>29</v>
      </c>
      <c r="C3" s="32" t="s">
        <v>30</v>
      </c>
      <c r="D3" s="31" t="s">
        <v>31</v>
      </c>
      <c r="E3" s="31" t="s">
        <v>32</v>
      </c>
    </row>
    <row r="4" spans="1:5">
      <c r="A4" s="11" t="s">
        <v>33</v>
      </c>
      <c r="B4" s="12">
        <v>102.6</v>
      </c>
      <c r="C4" s="13">
        <v>1002.03</v>
      </c>
      <c r="D4" s="12">
        <v>105</v>
      </c>
      <c r="E4" s="14">
        <v>303.08999999999997</v>
      </c>
    </row>
    <row r="5" spans="1:5">
      <c r="A5" s="11" t="s">
        <v>34</v>
      </c>
      <c r="B5" s="15">
        <v>107.53679999999999</v>
      </c>
      <c r="C5" s="16">
        <v>1043.24</v>
      </c>
      <c r="D5" s="15">
        <v>108.045</v>
      </c>
      <c r="E5" s="17">
        <v>317.7</v>
      </c>
    </row>
    <row r="6" spans="1:5">
      <c r="A6" s="11" t="s">
        <v>35</v>
      </c>
      <c r="B6" s="15">
        <v>110.76290399999998</v>
      </c>
      <c r="C6" s="16">
        <v>1078.6500000000001</v>
      </c>
      <c r="D6" s="15">
        <v>109.66567500000001</v>
      </c>
      <c r="E6" s="17">
        <v>344.49</v>
      </c>
    </row>
    <row r="7" spans="1:5">
      <c r="A7" s="11" t="s">
        <v>36</v>
      </c>
      <c r="B7" s="15">
        <v>114.30731692799998</v>
      </c>
      <c r="C7" s="16">
        <v>1182.77</v>
      </c>
      <c r="D7" s="15">
        <v>113.17497660000001</v>
      </c>
      <c r="E7" s="17">
        <v>348.37</v>
      </c>
    </row>
    <row r="8" spans="1:5">
      <c r="A8" s="11" t="s">
        <v>37</v>
      </c>
      <c r="B8" s="15">
        <v>119.67976082361598</v>
      </c>
      <c r="C8" s="16">
        <v>1205.74</v>
      </c>
      <c r="D8" s="15">
        <v>119.5127752896</v>
      </c>
      <c r="E8" s="17">
        <v>350.89</v>
      </c>
    </row>
    <row r="9" spans="1:5">
      <c r="A9" s="11" t="s">
        <v>38</v>
      </c>
      <c r="B9" s="15">
        <v>122.91111436585361</v>
      </c>
      <c r="C9" s="16">
        <v>1220.8900000000001</v>
      </c>
      <c r="D9" s="15">
        <v>122.02254357068159</v>
      </c>
      <c r="E9" s="17">
        <v>343.9</v>
      </c>
    </row>
    <row r="10" spans="1:5">
      <c r="A10" s="11" t="s">
        <v>39</v>
      </c>
      <c r="B10" s="15">
        <v>125.12351442443897</v>
      </c>
      <c r="C10" s="16">
        <v>1248.9100000000001</v>
      </c>
      <c r="D10" s="15">
        <v>121.77849848354022</v>
      </c>
      <c r="E10" s="17">
        <v>355.03</v>
      </c>
    </row>
    <row r="11" spans="1:5">
      <c r="A11" s="11" t="s">
        <v>40</v>
      </c>
      <c r="B11" s="15">
        <v>127.00036714080555</v>
      </c>
      <c r="C11" s="16">
        <v>1344.87</v>
      </c>
      <c r="D11" s="15">
        <v>123.60517596079332</v>
      </c>
      <c r="E11" s="17">
        <v>347.7</v>
      </c>
    </row>
    <row r="12" spans="1:5">
      <c r="A12" s="11" t="s">
        <v>41</v>
      </c>
      <c r="B12" s="15">
        <v>130.93737852217052</v>
      </c>
      <c r="C12" s="16">
        <v>1598.52</v>
      </c>
      <c r="D12" s="15">
        <v>126.81891053577394</v>
      </c>
      <c r="E12" s="17">
        <v>375.87</v>
      </c>
    </row>
    <row r="13" spans="1:5">
      <c r="A13" s="11" t="s">
        <v>42</v>
      </c>
      <c r="B13" s="15">
        <v>133.16331395704742</v>
      </c>
      <c r="C13" s="16">
        <v>1659.48</v>
      </c>
      <c r="D13" s="15">
        <v>129.60892656756099</v>
      </c>
      <c r="E13" s="17">
        <v>396.05</v>
      </c>
    </row>
    <row r="14" spans="1:5">
      <c r="A14" s="11" t="s">
        <v>43</v>
      </c>
      <c r="B14" s="15">
        <v>135.16076366640311</v>
      </c>
      <c r="C14" s="16">
        <v>1714</v>
      </c>
      <c r="D14" s="15">
        <v>130.77540690666905</v>
      </c>
      <c r="E14" s="17">
        <v>397.12</v>
      </c>
    </row>
    <row r="15" spans="1:5">
      <c r="A15" s="11" t="s">
        <v>44</v>
      </c>
      <c r="B15" s="15">
        <v>138.13430046706398</v>
      </c>
      <c r="C15" s="16">
        <v>1856.31</v>
      </c>
      <c r="D15" s="15">
        <v>134.96021992768246</v>
      </c>
      <c r="E15" s="17">
        <v>417.72</v>
      </c>
    </row>
    <row r="16" spans="1:5">
      <c r="A16" s="11" t="s">
        <v>45</v>
      </c>
      <c r="B16" s="15">
        <v>142.03512077687199</v>
      </c>
      <c r="C16" s="16">
        <v>1868.65</v>
      </c>
      <c r="D16" s="15">
        <v>138.95374806500701</v>
      </c>
      <c r="E16" s="17">
        <v>411.19</v>
      </c>
    </row>
    <row r="17" spans="1:5">
      <c r="A17" s="11" t="s">
        <v>46</v>
      </c>
      <c r="B17" s="15">
        <v>144.70203391707099</v>
      </c>
      <c r="C17" s="16">
        <v>1869.78</v>
      </c>
      <c r="D17" s="15">
        <v>142.75282302630686</v>
      </c>
      <c r="E17" s="17">
        <v>437.76</v>
      </c>
    </row>
    <row r="18" spans="1:5">
      <c r="A18" s="11" t="s">
        <v>47</v>
      </c>
      <c r="B18" s="15">
        <v>146.72786239191001</v>
      </c>
      <c r="C18" s="16">
        <v>1905.76</v>
      </c>
      <c r="D18" s="15">
        <v>145.03686819472776</v>
      </c>
      <c r="E18" s="17">
        <v>439.07</v>
      </c>
    </row>
    <row r="19" spans="1:5">
      <c r="A19" s="11" t="s">
        <v>48</v>
      </c>
      <c r="B19" s="15">
        <v>148.34186887822102</v>
      </c>
      <c r="C19" s="16">
        <v>2051.7399999999998</v>
      </c>
      <c r="D19" s="15">
        <v>147.50249495403813</v>
      </c>
      <c r="E19" s="17">
        <v>450.34</v>
      </c>
    </row>
    <row r="20" spans="1:5">
      <c r="A20" s="11" t="s">
        <v>49</v>
      </c>
      <c r="B20" s="15">
        <v>149.82528756700324</v>
      </c>
      <c r="C20" s="16">
        <v>2043.55</v>
      </c>
      <c r="D20" s="15">
        <v>149.56752988339468</v>
      </c>
      <c r="E20" s="16">
        <v>408.76</v>
      </c>
    </row>
    <row r="21" spans="1:5">
      <c r="A21" s="11" t="s">
        <v>50</v>
      </c>
      <c r="B21" s="15">
        <v>151.02388986753928</v>
      </c>
      <c r="C21" s="16">
        <v>2006.92</v>
      </c>
      <c r="D21" s="15">
        <v>152.2597454212958</v>
      </c>
      <c r="E21" s="16">
        <v>403.82</v>
      </c>
    </row>
    <row r="22" spans="1:5">
      <c r="A22" s="11" t="s">
        <v>51</v>
      </c>
      <c r="B22" s="15">
        <v>151.77900931687699</v>
      </c>
      <c r="C22" s="16">
        <v>2047.29</v>
      </c>
      <c r="D22" s="15">
        <v>152.10748567587453</v>
      </c>
      <c r="E22" s="16">
        <v>409.84</v>
      </c>
    </row>
    <row r="23" spans="1:5">
      <c r="A23" s="11" t="s">
        <v>52</v>
      </c>
      <c r="B23" s="15">
        <v>152.08256733551076</v>
      </c>
      <c r="C23" s="16">
        <v>2152.9899999999998</v>
      </c>
      <c r="D23" s="15">
        <v>153.02013058992975</v>
      </c>
      <c r="E23" s="16">
        <v>409.39</v>
      </c>
    </row>
    <row r="24" spans="1:5">
      <c r="A24" s="11" t="s">
        <v>53</v>
      </c>
      <c r="B24" s="15">
        <v>152.84298017218831</v>
      </c>
      <c r="C24" s="16">
        <v>2155.54</v>
      </c>
      <c r="D24" s="15">
        <v>154.70335202641897</v>
      </c>
      <c r="E24" s="16">
        <v>412.97</v>
      </c>
    </row>
    <row r="25" spans="1:5">
      <c r="A25" s="11" t="s">
        <v>54</v>
      </c>
      <c r="B25" s="15">
        <v>153.1486661325327</v>
      </c>
      <c r="C25" s="16">
        <v>2061.9499999999998</v>
      </c>
      <c r="D25" s="15">
        <v>155.32216543452466</v>
      </c>
      <c r="E25" s="16">
        <v>408.62</v>
      </c>
    </row>
    <row r="26" spans="1:5">
      <c r="A26" s="11" t="s">
        <v>55</v>
      </c>
      <c r="B26" s="15">
        <v>153.45496346479777</v>
      </c>
      <c r="C26" s="16">
        <v>2095.81</v>
      </c>
      <c r="D26" s="15">
        <v>153.92426594561394</v>
      </c>
      <c r="E26" s="16">
        <v>410.73</v>
      </c>
    </row>
    <row r="27" spans="1:5">
      <c r="A27" s="11" t="s">
        <v>56</v>
      </c>
      <c r="B27" s="15">
        <v>153.14805353786815</v>
      </c>
      <c r="C27" s="16">
        <v>2225.41</v>
      </c>
      <c r="D27" s="15">
        <v>154.53996300939639</v>
      </c>
      <c r="E27" s="16">
        <v>407.95</v>
      </c>
    </row>
    <row r="28" spans="1:5">
      <c r="A28" s="11" t="s">
        <v>57</v>
      </c>
      <c r="B28" s="15">
        <v>152.07601716310307</v>
      </c>
      <c r="C28" s="16">
        <v>2228.6799999999998</v>
      </c>
      <c r="D28" s="15">
        <v>155.46720278745275</v>
      </c>
      <c r="E28" s="16">
        <v>390.06</v>
      </c>
    </row>
    <row r="29" spans="1:5">
      <c r="A29" s="11" t="s">
        <v>58</v>
      </c>
      <c r="B29" s="18">
        <v>151.77186512877685</v>
      </c>
      <c r="C29" s="19">
        <v>2141.0100000000002</v>
      </c>
      <c r="D29" s="18">
        <v>156.08907159860257</v>
      </c>
      <c r="E29" s="19">
        <v>386.73</v>
      </c>
    </row>
  </sheetData>
  <phoneticPr fontId="11" type="noConversion"/>
  <pageMargins left="0.75" right="0.75" top="1" bottom="1" header="0.5" footer="0.5"/>
  <pageSetup paperSize="9"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6"/>
  <sheetViews>
    <sheetView topLeftCell="B1" zoomScale="120" zoomScaleNormal="120" workbookViewId="0">
      <selection activeCell="E15" sqref="E15"/>
    </sheetView>
  </sheetViews>
  <sheetFormatPr defaultRowHeight="12.75"/>
  <cols>
    <col min="1" max="3" width="9" style="6"/>
    <col min="4" max="4" width="14.375" style="6" customWidth="1"/>
    <col min="5" max="5" width="17.5" style="6" customWidth="1"/>
    <col min="6" max="16384" width="9" style="6"/>
  </cols>
  <sheetData>
    <row r="1" spans="1:10" ht="18">
      <c r="A1" s="27"/>
      <c r="C1" s="27" t="s">
        <v>61</v>
      </c>
    </row>
    <row r="2" spans="1:10" ht="18">
      <c r="A2" s="27"/>
      <c r="C2" s="6" t="s">
        <v>60</v>
      </c>
      <c r="E2" s="25">
        <v>0.7</v>
      </c>
    </row>
    <row r="3" spans="1:10" ht="18">
      <c r="A3" s="26"/>
      <c r="C3" s="6" t="s">
        <v>59</v>
      </c>
      <c r="E3" s="25">
        <v>-0.2</v>
      </c>
      <c r="H3" s="52" t="s">
        <v>82</v>
      </c>
    </row>
    <row r="4" spans="1:10" ht="13.5" thickBot="1">
      <c r="A4" s="47" t="s">
        <v>72</v>
      </c>
      <c r="B4" s="24" t="s">
        <v>13</v>
      </c>
    </row>
    <row r="5" spans="1:10">
      <c r="A5" s="23">
        <v>0</v>
      </c>
      <c r="B5" s="22">
        <f t="shared" ref="B5:B35" ca="1" si="0">$E$3*A5+$E$2*RAND()*COS(A5)</f>
        <v>0.48728569859718762</v>
      </c>
      <c r="D5" s="33" t="s">
        <v>93</v>
      </c>
      <c r="E5" s="34"/>
      <c r="F5" s="34"/>
      <c r="G5" s="34"/>
      <c r="H5" s="34"/>
      <c r="I5" s="34"/>
      <c r="J5" s="35"/>
    </row>
    <row r="6" spans="1:10">
      <c r="A6" s="23">
        <f t="shared" ref="A6:A35" si="1">A5+0.1</f>
        <v>0.1</v>
      </c>
      <c r="B6" s="22">
        <f t="shared" ca="1" si="0"/>
        <v>0.32876642380596383</v>
      </c>
      <c r="D6" s="36" t="s">
        <v>62</v>
      </c>
      <c r="E6" s="37"/>
      <c r="F6" s="37"/>
      <c r="G6" s="37"/>
      <c r="H6" s="37"/>
      <c r="I6" s="37"/>
      <c r="J6" s="38"/>
    </row>
    <row r="7" spans="1:10">
      <c r="A7" s="23">
        <f t="shared" si="1"/>
        <v>0.2</v>
      </c>
      <c r="B7" s="22">
        <f t="shared" ca="1" si="0"/>
        <v>0.59870007016875848</v>
      </c>
      <c r="D7" s="36" t="s">
        <v>63</v>
      </c>
      <c r="E7" s="37"/>
      <c r="F7" s="37"/>
      <c r="G7" s="37"/>
      <c r="H7" s="37"/>
      <c r="I7" s="37"/>
      <c r="J7" s="38"/>
    </row>
    <row r="8" spans="1:10">
      <c r="A8" s="23">
        <f t="shared" si="1"/>
        <v>0.30000000000000004</v>
      </c>
      <c r="B8" s="22">
        <f t="shared" ca="1" si="0"/>
        <v>0.18961485699681457</v>
      </c>
      <c r="D8" s="36" t="s">
        <v>64</v>
      </c>
      <c r="E8" s="37"/>
      <c r="F8" s="37"/>
      <c r="G8" s="37"/>
      <c r="H8" s="37"/>
      <c r="I8" s="37"/>
      <c r="J8" s="38"/>
    </row>
    <row r="9" spans="1:10">
      <c r="A9" s="23">
        <f t="shared" si="1"/>
        <v>0.4</v>
      </c>
      <c r="B9" s="22">
        <f t="shared" ca="1" si="0"/>
        <v>-4.302786658244051E-2</v>
      </c>
      <c r="D9" s="36"/>
      <c r="E9" s="37"/>
      <c r="F9" s="37"/>
      <c r="G9" s="37"/>
      <c r="H9" s="37"/>
      <c r="I9" s="37"/>
      <c r="J9" s="38"/>
    </row>
    <row r="10" spans="1:10">
      <c r="A10" s="23">
        <f t="shared" si="1"/>
        <v>0.5</v>
      </c>
      <c r="B10" s="22">
        <f t="shared" ca="1" si="0"/>
        <v>0.33432059526150149</v>
      </c>
      <c r="D10" s="36" t="s">
        <v>65</v>
      </c>
      <c r="E10" s="37"/>
      <c r="F10" s="37"/>
      <c r="G10" s="37"/>
      <c r="H10" s="37"/>
      <c r="I10" s="37"/>
      <c r="J10" s="38"/>
    </row>
    <row r="11" spans="1:10" ht="13.5" thickBot="1">
      <c r="A11" s="23">
        <f t="shared" si="1"/>
        <v>0.6</v>
      </c>
      <c r="B11" s="22">
        <f t="shared" ca="1" si="0"/>
        <v>0.26687773895309885</v>
      </c>
      <c r="D11" s="39"/>
      <c r="E11" s="40"/>
      <c r="F11" s="40"/>
      <c r="G11" s="40"/>
      <c r="H11" s="40"/>
      <c r="I11" s="40"/>
      <c r="J11" s="41"/>
    </row>
    <row r="12" spans="1:10">
      <c r="A12" s="23">
        <f t="shared" si="1"/>
        <v>0.7</v>
      </c>
      <c r="B12" s="22">
        <f t="shared" ca="1" si="0"/>
        <v>-3.8457667479498941E-2</v>
      </c>
    </row>
    <row r="13" spans="1:10">
      <c r="A13" s="23">
        <f t="shared" si="1"/>
        <v>0.79999999999999993</v>
      </c>
      <c r="B13" s="22">
        <f t="shared" ca="1" si="0"/>
        <v>0.24207826293980664</v>
      </c>
    </row>
    <row r="14" spans="1:10">
      <c r="A14" s="23">
        <f t="shared" si="1"/>
        <v>0.89999999999999991</v>
      </c>
      <c r="B14" s="22">
        <f t="shared" ca="1" si="0"/>
        <v>-5.6608716068540843E-2</v>
      </c>
    </row>
    <row r="15" spans="1:10">
      <c r="A15" s="23">
        <f t="shared" si="1"/>
        <v>0.99999999999999989</v>
      </c>
      <c r="B15" s="22">
        <f t="shared" ca="1" si="0"/>
        <v>-0.18106009428693476</v>
      </c>
    </row>
    <row r="16" spans="1:10">
      <c r="A16" s="23">
        <f t="shared" si="1"/>
        <v>1.0999999999999999</v>
      </c>
      <c r="B16" s="22">
        <f t="shared" ca="1" si="0"/>
        <v>-8.3135487428367266E-2</v>
      </c>
    </row>
    <row r="17" spans="1:2">
      <c r="A17" s="23">
        <f t="shared" si="1"/>
        <v>1.2</v>
      </c>
      <c r="B17" s="22">
        <f t="shared" ca="1" si="0"/>
        <v>-0.14099647885384342</v>
      </c>
    </row>
    <row r="18" spans="1:2">
      <c r="A18" s="23">
        <f t="shared" si="1"/>
        <v>1.3</v>
      </c>
      <c r="B18" s="22">
        <f t="shared" ca="1" si="0"/>
        <v>-0.25973028431286765</v>
      </c>
    </row>
    <row r="19" spans="1:2">
      <c r="A19" s="23">
        <f t="shared" si="1"/>
        <v>1.4000000000000001</v>
      </c>
      <c r="B19" s="22">
        <f t="shared" ca="1" si="0"/>
        <v>-0.18536550037033178</v>
      </c>
    </row>
    <row r="20" spans="1:2">
      <c r="A20" s="23">
        <f t="shared" si="1"/>
        <v>1.5000000000000002</v>
      </c>
      <c r="B20" s="22">
        <f t="shared" ca="1" si="0"/>
        <v>-0.27396035205526986</v>
      </c>
    </row>
    <row r="21" spans="1:2">
      <c r="A21" s="23">
        <f t="shared" si="1"/>
        <v>1.6000000000000003</v>
      </c>
      <c r="B21" s="22">
        <f t="shared" ca="1" si="0"/>
        <v>-0.32615930115705638</v>
      </c>
    </row>
    <row r="22" spans="1:2">
      <c r="A22" s="23">
        <f t="shared" si="1"/>
        <v>1.7000000000000004</v>
      </c>
      <c r="B22" s="22">
        <f t="shared" ca="1" si="0"/>
        <v>-0.37183060961409858</v>
      </c>
    </row>
    <row r="23" spans="1:2">
      <c r="A23" s="23">
        <f t="shared" si="1"/>
        <v>1.8000000000000005</v>
      </c>
      <c r="B23" s="22">
        <f t="shared" ca="1" si="0"/>
        <v>-0.43209235400772306</v>
      </c>
    </row>
    <row r="24" spans="1:2">
      <c r="A24" s="23">
        <f t="shared" si="1"/>
        <v>1.9000000000000006</v>
      </c>
      <c r="B24" s="22">
        <f t="shared" ca="1" si="0"/>
        <v>-0.58671285294964803</v>
      </c>
    </row>
    <row r="25" spans="1:2">
      <c r="A25" s="23">
        <f t="shared" si="1"/>
        <v>2.0000000000000004</v>
      </c>
      <c r="B25" s="22">
        <f t="shared" ca="1" si="0"/>
        <v>-0.5877697517016307</v>
      </c>
    </row>
    <row r="26" spans="1:2">
      <c r="A26" s="23">
        <f t="shared" si="1"/>
        <v>2.1000000000000005</v>
      </c>
      <c r="B26" s="22">
        <f t="shared" ca="1" si="0"/>
        <v>-0.7688196222375423</v>
      </c>
    </row>
    <row r="27" spans="1:2">
      <c r="A27" s="23">
        <f t="shared" si="1"/>
        <v>2.2000000000000006</v>
      </c>
      <c r="B27" s="22">
        <f t="shared" ca="1" si="0"/>
        <v>-0.81529894501471667</v>
      </c>
    </row>
    <row r="28" spans="1:2">
      <c r="A28" s="23">
        <f t="shared" si="1"/>
        <v>2.3000000000000007</v>
      </c>
      <c r="B28" s="22">
        <f t="shared" ca="1" si="0"/>
        <v>-0.77996954038663791</v>
      </c>
    </row>
    <row r="29" spans="1:2">
      <c r="A29" s="23">
        <f t="shared" si="1"/>
        <v>2.4000000000000008</v>
      </c>
      <c r="B29" s="22">
        <f t="shared" ca="1" si="0"/>
        <v>-0.66281411703734328</v>
      </c>
    </row>
    <row r="30" spans="1:2">
      <c r="A30" s="23">
        <f t="shared" si="1"/>
        <v>2.5000000000000009</v>
      </c>
      <c r="B30" s="22">
        <f t="shared" ca="1" si="0"/>
        <v>-0.73817848940467912</v>
      </c>
    </row>
    <row r="31" spans="1:2">
      <c r="A31" s="23">
        <f t="shared" si="1"/>
        <v>2.600000000000001</v>
      </c>
      <c r="B31" s="22">
        <f t="shared" ca="1" si="0"/>
        <v>-0.75841052680491128</v>
      </c>
    </row>
    <row r="32" spans="1:2">
      <c r="A32" s="23">
        <f t="shared" si="1"/>
        <v>2.7000000000000011</v>
      </c>
      <c r="B32" s="22">
        <f t="shared" ca="1" si="0"/>
        <v>-0.73732990810578292</v>
      </c>
    </row>
    <row r="33" spans="1:2">
      <c r="A33" s="23">
        <f t="shared" si="1"/>
        <v>2.8000000000000012</v>
      </c>
      <c r="B33" s="22">
        <f t="shared" ca="1" si="0"/>
        <v>-0.73895063969717589</v>
      </c>
    </row>
    <row r="34" spans="1:2">
      <c r="A34" s="23">
        <f t="shared" si="1"/>
        <v>2.9000000000000012</v>
      </c>
      <c r="B34" s="22">
        <f t="shared" ca="1" si="0"/>
        <v>-0.83682542758124978</v>
      </c>
    </row>
    <row r="35" spans="1:2">
      <c r="A35" s="23">
        <f t="shared" si="1"/>
        <v>3.0000000000000013</v>
      </c>
      <c r="B35" s="22">
        <f t="shared" ca="1" si="0"/>
        <v>-0.75440460237637008</v>
      </c>
    </row>
    <row r="36" spans="1:2">
      <c r="A36" s="21"/>
      <c r="B36" s="20"/>
    </row>
  </sheetData>
  <pageMargins left="0.75" right="0.75" top="1" bottom="1" header="0.5" footer="0.5"/>
  <pageSetup paperSize="9" orientation="portrait" horizontalDpi="1200" verticalDpi="1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02D4-C79E-441A-BC85-66518A0142E3}">
  <dimension ref="A1:H21"/>
  <sheetViews>
    <sheetView workbookViewId="0">
      <selection activeCell="H16" sqref="H16"/>
    </sheetView>
  </sheetViews>
  <sheetFormatPr defaultRowHeight="14.25"/>
  <cols>
    <col min="8" max="8" width="113.75" customWidth="1"/>
  </cols>
  <sheetData>
    <row r="1" spans="1:8">
      <c r="B1" s="66" t="s">
        <v>16</v>
      </c>
      <c r="C1" s="66" t="s">
        <v>87</v>
      </c>
      <c r="D1" s="66" t="s">
        <v>88</v>
      </c>
      <c r="E1" s="66" t="s">
        <v>89</v>
      </c>
      <c r="F1" s="66" t="s">
        <v>90</v>
      </c>
      <c r="G1" s="68" t="s">
        <v>5</v>
      </c>
      <c r="H1" s="51" t="s">
        <v>75</v>
      </c>
    </row>
    <row r="2" spans="1:8" ht="16.5">
      <c r="B2" s="67">
        <v>110</v>
      </c>
      <c r="C2" s="67">
        <v>29</v>
      </c>
      <c r="D2" s="67">
        <v>1</v>
      </c>
      <c r="E2" s="67">
        <v>25</v>
      </c>
      <c r="F2" s="67">
        <v>350</v>
      </c>
      <c r="G2" s="69">
        <v>2007</v>
      </c>
      <c r="H2" s="51" t="s">
        <v>76</v>
      </c>
    </row>
    <row r="3" spans="1:8" ht="16.5">
      <c r="B3" s="67">
        <v>125</v>
      </c>
      <c r="C3" s="67">
        <v>32</v>
      </c>
      <c r="D3" s="67">
        <v>2</v>
      </c>
      <c r="E3" s="67">
        <v>20</v>
      </c>
      <c r="F3" s="67">
        <v>250</v>
      </c>
      <c r="G3" s="69">
        <v>2008</v>
      </c>
      <c r="H3" s="51" t="s">
        <v>77</v>
      </c>
    </row>
    <row r="4" spans="1:8" ht="16.5">
      <c r="B4" s="67">
        <v>150</v>
      </c>
      <c r="C4" s="67">
        <v>48</v>
      </c>
      <c r="D4" s="67">
        <v>3</v>
      </c>
      <c r="E4" s="67">
        <v>24</v>
      </c>
      <c r="F4" s="67">
        <v>200</v>
      </c>
      <c r="G4" s="69">
        <v>2009</v>
      </c>
      <c r="H4" s="51" t="s">
        <v>78</v>
      </c>
    </row>
    <row r="5" spans="1:8" ht="16.5">
      <c r="B5" s="67">
        <v>175</v>
      </c>
      <c r="C5" s="67">
        <v>50</v>
      </c>
      <c r="D5" s="67">
        <v>2</v>
      </c>
      <c r="E5" s="67">
        <v>26.5</v>
      </c>
      <c r="F5" s="67">
        <v>160</v>
      </c>
      <c r="G5" s="69">
        <v>2010</v>
      </c>
      <c r="H5" s="51" t="s">
        <v>91</v>
      </c>
    </row>
    <row r="6" spans="1:8" ht="16.5">
      <c r="B6" s="67">
        <v>180</v>
      </c>
      <c r="C6" s="67">
        <v>52</v>
      </c>
      <c r="D6" s="67">
        <v>4</v>
      </c>
      <c r="E6" s="67">
        <v>20</v>
      </c>
      <c r="F6" s="67">
        <v>400</v>
      </c>
      <c r="G6" s="69">
        <v>2011</v>
      </c>
      <c r="H6" s="51"/>
    </row>
    <row r="7" spans="1:8" ht="16.5">
      <c r="B7" s="67">
        <v>195</v>
      </c>
      <c r="C7" s="67">
        <v>49</v>
      </c>
      <c r="D7" s="67">
        <v>2</v>
      </c>
      <c r="E7" s="67">
        <v>24.5</v>
      </c>
      <c r="F7" s="67">
        <v>250</v>
      </c>
      <c r="G7" s="69">
        <v>2012</v>
      </c>
      <c r="H7" s="51"/>
    </row>
    <row r="8" spans="1:8" ht="16.5">
      <c r="B8" s="67">
        <v>200</v>
      </c>
      <c r="C8" s="67">
        <v>55</v>
      </c>
      <c r="D8" s="67">
        <v>3</v>
      </c>
      <c r="E8" s="67">
        <v>27</v>
      </c>
      <c r="F8" s="67">
        <v>190</v>
      </c>
      <c r="G8" s="69">
        <v>2013</v>
      </c>
    </row>
    <row r="9" spans="1:8" ht="16.5">
      <c r="B9" s="67">
        <v>205</v>
      </c>
      <c r="C9" s="67">
        <v>58</v>
      </c>
      <c r="D9" s="67">
        <v>5</v>
      </c>
      <c r="E9" s="67">
        <v>30</v>
      </c>
      <c r="F9" s="67">
        <v>150</v>
      </c>
      <c r="G9" s="69">
        <v>2014</v>
      </c>
    </row>
    <row r="10" spans="1:8" ht="17.25" thickBot="1">
      <c r="B10" s="67">
        <v>220</v>
      </c>
      <c r="C10" s="67">
        <v>65</v>
      </c>
      <c r="D10" s="67">
        <v>3</v>
      </c>
      <c r="E10" s="67">
        <v>32</v>
      </c>
      <c r="F10" s="67">
        <v>130</v>
      </c>
      <c r="G10" s="69">
        <v>2015</v>
      </c>
    </row>
    <row r="11" spans="1:8" ht="17.25" thickBot="1">
      <c r="A11" s="65"/>
      <c r="B11" s="67">
        <v>250</v>
      </c>
      <c r="C11" s="67">
        <v>70</v>
      </c>
      <c r="D11" s="67">
        <v>6</v>
      </c>
      <c r="E11" s="67">
        <v>35.5</v>
      </c>
      <c r="F11" s="67">
        <v>150</v>
      </c>
      <c r="G11" s="69">
        <v>2016</v>
      </c>
    </row>
    <row r="12" spans="1:8" ht="17.25" thickBot="1">
      <c r="A12" s="65"/>
    </row>
    <row r="13" spans="1:8" ht="37.5" customHeight="1" thickBot="1">
      <c r="A13" s="65"/>
      <c r="B13" s="74" t="s">
        <v>80</v>
      </c>
      <c r="C13" s="74"/>
      <c r="D13" s="74"/>
      <c r="E13" s="74"/>
      <c r="F13" s="74"/>
      <c r="G13" s="74"/>
    </row>
    <row r="14" spans="1:8" ht="57.75" customHeight="1" thickBot="1">
      <c r="A14" s="65"/>
      <c r="B14" s="74" t="s">
        <v>79</v>
      </c>
      <c r="C14" s="74"/>
      <c r="D14" s="74"/>
      <c r="E14" s="74"/>
      <c r="F14" s="74"/>
      <c r="G14" s="74"/>
    </row>
    <row r="15" spans="1:8" ht="57" customHeight="1" thickBot="1">
      <c r="A15" s="65"/>
      <c r="B15" s="74" t="s">
        <v>81</v>
      </c>
      <c r="C15" s="74"/>
      <c r="D15" s="74"/>
      <c r="E15" s="74"/>
      <c r="F15" s="74"/>
      <c r="G15" s="74"/>
    </row>
    <row r="16" spans="1:8" ht="83.25" customHeight="1" thickBot="1">
      <c r="A16" s="65"/>
      <c r="B16" s="74" t="s">
        <v>92</v>
      </c>
      <c r="C16" s="74"/>
      <c r="D16" s="74"/>
      <c r="E16" s="74"/>
      <c r="F16" s="74"/>
      <c r="G16" s="74"/>
    </row>
    <row r="17" spans="1:1" ht="17.25" thickBot="1">
      <c r="A17" s="65"/>
    </row>
    <row r="18" spans="1:1" ht="17.25" thickBot="1">
      <c r="A18" s="65"/>
    </row>
    <row r="19" spans="1:1" ht="17.25" thickBot="1">
      <c r="A19" s="65"/>
    </row>
    <row r="20" spans="1:1" ht="17.25" thickBot="1">
      <c r="A20" s="65"/>
    </row>
    <row r="21" spans="1:1" ht="17.25" thickBot="1">
      <c r="A21" s="65"/>
    </row>
  </sheetData>
  <mergeCells count="4">
    <mergeCell ref="B13:G13"/>
    <mergeCell ref="B14:G14"/>
    <mergeCell ref="B15:G15"/>
    <mergeCell ref="B16:G16"/>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5</vt:i4>
      </vt:variant>
    </vt:vector>
  </HeadingPairs>
  <TitlesOfParts>
    <vt:vector size="5" baseType="lpstr">
      <vt:lpstr>regresja wieloraka</vt:lpstr>
      <vt:lpstr>wielomian</vt:lpstr>
      <vt:lpstr>zadanie1</vt:lpstr>
      <vt:lpstr>zadanie 2</vt:lpstr>
      <vt:lpstr>zadanie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BOZENA</dc:creator>
  <cp:lastModifiedBy>Bozena Staruch</cp:lastModifiedBy>
  <dcterms:created xsi:type="dcterms:W3CDTF">2009-11-19T11:36:45Z</dcterms:created>
  <dcterms:modified xsi:type="dcterms:W3CDTF">2026-04-20T20:15:54Z</dcterms:modified>
</cp:coreProperties>
</file>