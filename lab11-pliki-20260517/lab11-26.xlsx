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zena\Desktop\zajęcia-zima26\MMS26\lab11\"/>
    </mc:Choice>
  </mc:AlternateContent>
  <xr:revisionPtr revIDLastSave="0" documentId="13_ncr:1_{DCC1F583-BF9D-4656-BA24-A1FCB9895E64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preferencje-przykład" sheetId="1" r:id="rId1"/>
    <sheet name="Zadanie1" sheetId="2" r:id="rId2"/>
    <sheet name="Zadanie2" sheetId="3" r:id="rId3"/>
  </sheets>
  <definedNames>
    <definedName name="solver_adj" localSheetId="0">"'preferencje-przykład'!#ref!"</definedName>
    <definedName name="solver_cvg" localSheetId="0">0.0001</definedName>
    <definedName name="solver_drv" localSheetId="0">1</definedName>
    <definedName name="solver_est" localSheetId="0">1</definedName>
    <definedName name="solver_itr" localSheetId="0">100</definedName>
    <definedName name="solver_lhs1" localSheetId="0">"'preferencje-przykład'!#ref!"</definedName>
    <definedName name="solver_lhs2" localSheetId="0">"'preferencje-przykład'!#ref!"</definedName>
    <definedName name="solver_lhs3" localSheetId="0">"'preferencje-przykład'!#ref!"</definedName>
    <definedName name="solver_lhs4" localSheetId="0">"'preferencje-przykład'!#ref!"</definedName>
    <definedName name="solver_lhs5" localSheetId="0">"'preferencje-przykład'!#ref!"</definedName>
    <definedName name="solver_lhs6" localSheetId="0">"'preferencje-przykład'!#ref!"</definedName>
    <definedName name="solver_lin" localSheetId="0">2</definedName>
    <definedName name="solver_neg" localSheetId="0">2</definedName>
    <definedName name="solver_num" localSheetId="0">6</definedName>
    <definedName name="solver_nwt" localSheetId="0">1</definedName>
    <definedName name="solver_opt" localSheetId="0">"'preferencje-przykład'!#ref!"</definedName>
    <definedName name="solver_pre" localSheetId="0">0.000001</definedName>
    <definedName name="solver_rel1" localSheetId="0">3</definedName>
    <definedName name="solver_rel2" localSheetId="0">3</definedName>
    <definedName name="solver_rel3" localSheetId="0">3</definedName>
    <definedName name="solver_rel4" localSheetId="0">3</definedName>
    <definedName name="solver_rel5" localSheetId="0">3</definedName>
    <definedName name="solver_rel6" localSheetId="0">3</definedName>
    <definedName name="solver_rhs1" localSheetId="0">"'preferencje-przykład'!#ref!"</definedName>
    <definedName name="solver_rhs2" localSheetId="0">"'preferencje-przykład'!#ref!"</definedName>
    <definedName name="solver_rhs3" localSheetId="0">"'preferencje-przykład'!#ref!"</definedName>
    <definedName name="solver_rhs4" localSheetId="0">"'preferencje-przykład'!#ref!"</definedName>
    <definedName name="solver_rhs5" localSheetId="0">"'preferencje-przykład'!#ref!"</definedName>
    <definedName name="solver_rhs6" localSheetId="0">"'preferencje-przykład'!#ref!"</definedName>
    <definedName name="solver_scl" localSheetId="0">2</definedName>
    <definedName name="solver_sho" localSheetId="0">2</definedName>
    <definedName name="solver_tim" localSheetId="0">100</definedName>
    <definedName name="solver_tol" localSheetId="0">0.05</definedName>
    <definedName name="solver_typ" localSheetId="0">2</definedName>
    <definedName name="solver_val" localSheetId="0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4" i="1" l="1"/>
  <c r="C73" i="1"/>
  <c r="D73" i="1"/>
  <c r="E73" i="1"/>
  <c r="F73" i="1"/>
  <c r="H73" i="1" s="1"/>
  <c r="C74" i="1"/>
  <c r="D74" i="1"/>
  <c r="E74" i="1"/>
  <c r="F74" i="1"/>
  <c r="I74" i="1" s="1"/>
  <c r="C75" i="1"/>
  <c r="D75" i="1"/>
  <c r="E75" i="1"/>
  <c r="F75" i="1"/>
  <c r="H75" i="1" s="1"/>
  <c r="C76" i="1"/>
  <c r="D76" i="1"/>
  <c r="E76" i="1"/>
  <c r="F76" i="1"/>
  <c r="G76" i="1" s="1"/>
  <c r="C77" i="1"/>
  <c r="D77" i="1"/>
  <c r="E77" i="1"/>
  <c r="F77" i="1"/>
  <c r="H77" i="1" s="1"/>
  <c r="D72" i="1"/>
  <c r="E72" i="1"/>
  <c r="F72" i="1"/>
  <c r="C72" i="1"/>
  <c r="H72" i="1" s="1"/>
  <c r="C54" i="1"/>
  <c r="D54" i="1"/>
  <c r="E54" i="1"/>
  <c r="F54" i="1"/>
  <c r="C55" i="1"/>
  <c r="D55" i="1"/>
  <c r="E55" i="1"/>
  <c r="F55" i="1"/>
  <c r="C56" i="1"/>
  <c r="D56" i="1"/>
  <c r="E56" i="1"/>
  <c r="F56" i="1"/>
  <c r="C57" i="1"/>
  <c r="D57" i="1"/>
  <c r="E57" i="1"/>
  <c r="F57" i="1"/>
  <c r="C58" i="1"/>
  <c r="D58" i="1"/>
  <c r="E58" i="1"/>
  <c r="F58" i="1"/>
  <c r="D53" i="1"/>
  <c r="E53" i="1"/>
  <c r="F53" i="1"/>
  <c r="C53" i="1"/>
  <c r="C27" i="1"/>
  <c r="D27" i="1"/>
  <c r="E27" i="1"/>
  <c r="F27" i="1"/>
  <c r="C28" i="1"/>
  <c r="D28" i="1"/>
  <c r="E28" i="1"/>
  <c r="E35" i="1" s="1"/>
  <c r="F28" i="1"/>
  <c r="C29" i="1"/>
  <c r="D29" i="1"/>
  <c r="E29" i="1"/>
  <c r="M38" i="1" s="1"/>
  <c r="F29" i="1"/>
  <c r="C30" i="1"/>
  <c r="D30" i="1"/>
  <c r="E30" i="1"/>
  <c r="E37" i="1" s="1"/>
  <c r="F30" i="1"/>
  <c r="C31" i="1"/>
  <c r="D31" i="1"/>
  <c r="E31" i="1"/>
  <c r="M40" i="1" s="1"/>
  <c r="F31" i="1"/>
  <c r="P40" i="1" s="1"/>
  <c r="D26" i="1"/>
  <c r="E26" i="1"/>
  <c r="F26" i="1"/>
  <c r="Q35" i="1" s="1"/>
  <c r="C26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L40" i="1"/>
  <c r="D40" i="1"/>
  <c r="C40" i="1"/>
  <c r="L39" i="1"/>
  <c r="D39" i="1"/>
  <c r="C39" i="1"/>
  <c r="L38" i="1"/>
  <c r="D38" i="1"/>
  <c r="L37" i="1"/>
  <c r="D37" i="1"/>
  <c r="L36" i="1"/>
  <c r="D36" i="1"/>
  <c r="D35" i="1"/>
  <c r="D34" i="1"/>
  <c r="I77" i="1" l="1"/>
  <c r="E48" i="1"/>
  <c r="I72" i="1"/>
  <c r="G75" i="1"/>
  <c r="H76" i="1"/>
  <c r="O35" i="1"/>
  <c r="E41" i="1"/>
  <c r="G72" i="1"/>
  <c r="F40" i="1"/>
  <c r="I73" i="1"/>
  <c r="I76" i="1"/>
  <c r="G73" i="1"/>
  <c r="H74" i="1"/>
  <c r="H78" i="1" s="1"/>
  <c r="I75" i="1"/>
  <c r="G77" i="1"/>
  <c r="G74" i="1"/>
  <c r="Q37" i="1"/>
  <c r="M36" i="1"/>
  <c r="E39" i="1"/>
  <c r="E40" i="1"/>
  <c r="E45" i="1"/>
  <c r="E34" i="1"/>
  <c r="M37" i="1"/>
  <c r="E42" i="1"/>
  <c r="E46" i="1"/>
  <c r="C36" i="1"/>
  <c r="N35" i="1"/>
  <c r="P35" i="1"/>
  <c r="E36" i="1"/>
  <c r="M39" i="1"/>
  <c r="E47" i="1"/>
  <c r="N36" i="1"/>
  <c r="E38" i="1"/>
  <c r="F48" i="1"/>
  <c r="F47" i="1"/>
  <c r="F34" i="1"/>
  <c r="F35" i="1"/>
  <c r="O36" i="1"/>
  <c r="N37" i="1"/>
  <c r="O38" i="1"/>
  <c r="N39" i="1"/>
  <c r="N40" i="1"/>
  <c r="E44" i="1"/>
  <c r="E43" i="1"/>
  <c r="C35" i="1"/>
  <c r="L35" i="1"/>
  <c r="P36" i="1"/>
  <c r="F37" i="1"/>
  <c r="P37" i="1"/>
  <c r="F38" i="1"/>
  <c r="P38" i="1"/>
  <c r="O39" i="1"/>
  <c r="O40" i="1"/>
  <c r="C37" i="1"/>
  <c r="C38" i="1"/>
  <c r="Q38" i="1"/>
  <c r="P39" i="1"/>
  <c r="Q40" i="1"/>
  <c r="F36" i="1"/>
  <c r="N38" i="1"/>
  <c r="Q39" i="1"/>
  <c r="F46" i="1"/>
  <c r="O37" i="1"/>
  <c r="F43" i="1"/>
  <c r="F44" i="1"/>
  <c r="F45" i="1"/>
  <c r="Q36" i="1"/>
  <c r="F39" i="1"/>
  <c r="F41" i="1"/>
  <c r="F42" i="1"/>
  <c r="M35" i="1"/>
  <c r="G78" i="1"/>
  <c r="I78" i="1" l="1"/>
</calcChain>
</file>

<file path=xl/sharedStrings.xml><?xml version="1.0" encoding="utf-8"?>
<sst xmlns="http://schemas.openxmlformats.org/spreadsheetml/2006/main" count="180" uniqueCount="104">
  <si>
    <t xml:space="preserve">Dane są wektory decyzyjne w1-w6.  </t>
  </si>
  <si>
    <t>a) Wyznaczyc elementy maksymalne w relacji preferencji wyznaczonej przez porządek Pareto</t>
  </si>
  <si>
    <t>b) Wyznaczyc elementy maksymalne w relacji preferencji wyznaczonej przez porządek leksykograficzny</t>
  </si>
  <si>
    <t>d) Wyznaczyc elementy maksymalne w relacji preferencji wyznaczonej przez porządek oparty na funkcji użyteczności u(w)=min</t>
  </si>
  <si>
    <t>e) Wyznaczyc elementy maksymalne w relacji preferencji wyznaczonej przez porządek oparty na funkcji użyteczności u(w)=suma</t>
  </si>
  <si>
    <t>f) Wyznaczyc elementy maksymalne w relacji preferencji wyznaczonej przez porządek oparty na funkcji użyteczności u(w)=0,6min+0,4max</t>
  </si>
  <si>
    <t>s1</t>
  </si>
  <si>
    <t>s2</t>
  </si>
  <si>
    <t>s3</t>
  </si>
  <si>
    <t>s4</t>
  </si>
  <si>
    <t>w1</t>
  </si>
  <si>
    <t>w2</t>
  </si>
  <si>
    <t>w3</t>
  </si>
  <si>
    <t>w4</t>
  </si>
  <si>
    <t>w5</t>
  </si>
  <si>
    <t>w6</t>
  </si>
  <si>
    <t xml:space="preserve">Dane są wektory decyzyjne s1-s4.  </t>
  </si>
  <si>
    <t>a) Wyznaczyc elementy maksymalne w odwróconej relacji preferencji wyznaczonej przez  porządek Pareto</t>
  </si>
  <si>
    <t>Rozważamy na nich odwróconą relację preferencji tzn "im mniej tym lepiej"</t>
  </si>
  <si>
    <t>b) Wyznaczyc elementy maksymalne w odwróconej relacji preferencji wyznaczonej przez  porządek leksykograficzny</t>
  </si>
  <si>
    <t>c) Wyznaczyc elementy maksymalne w odwróconej relacji preferencji wyznaczonej przez porządek leksykograficzny ustalić hierarchię celów w kolejności w5,w1,w4,w3,w6,w2</t>
  </si>
  <si>
    <t>odp. 1a</t>
  </si>
  <si>
    <t>odp. 2a</t>
  </si>
  <si>
    <t>w1 ?w2</t>
  </si>
  <si>
    <t>nieporównywalne</t>
  </si>
  <si>
    <t>s1?s2</t>
  </si>
  <si>
    <t>s1?s3</t>
  </si>
  <si>
    <t>s1?s4</t>
  </si>
  <si>
    <t>s2?s3</t>
  </si>
  <si>
    <t>s2?s4</t>
  </si>
  <si>
    <t>s3?s4</t>
  </si>
  <si>
    <t>w1 ?w3</t>
  </si>
  <si>
    <t>w1 ?w4</t>
  </si>
  <si>
    <t>w1&lt; w4</t>
  </si>
  <si>
    <t>w1 ?w5</t>
  </si>
  <si>
    <t>w1&lt; w5</t>
  </si>
  <si>
    <t>w1 ?w6</t>
  </si>
  <si>
    <t>w1&lt; w6</t>
  </si>
  <si>
    <t>w2 ?w3</t>
  </si>
  <si>
    <t>w2 ?w4</t>
  </si>
  <si>
    <t>w2&lt;w4</t>
  </si>
  <si>
    <t>w2 ?w5</t>
  </si>
  <si>
    <t>s1&lt;s2</t>
  </si>
  <si>
    <t>s1&lt;s3</t>
  </si>
  <si>
    <t>niepor</t>
  </si>
  <si>
    <t>w2 ?w6</t>
  </si>
  <si>
    <t>w2&lt;w6</t>
  </si>
  <si>
    <t>w3 ?w4</t>
  </si>
  <si>
    <t>WNIOSKI:    s1 wykreślamy, pozostałe są nieporównywalne. Czyli elementy maksymalne to s2,s3,s4</t>
  </si>
  <si>
    <t>w3 ?w5</t>
  </si>
  <si>
    <t>w3 ?w6</t>
  </si>
  <si>
    <t>w4 ?w5</t>
  </si>
  <si>
    <t>w4&gt;w5</t>
  </si>
  <si>
    <t>w4 ?w6</t>
  </si>
  <si>
    <t>w5 ?w6</t>
  </si>
  <si>
    <t>odp. 2b</t>
  </si>
  <si>
    <t>w1:</t>
  </si>
  <si>
    <t>s1&lt;s2&lt;s3=s4</t>
  </si>
  <si>
    <t>WNIOSKI  s3 jest elementem najwiekszym</t>
  </si>
  <si>
    <t>s3&gt;s4</t>
  </si>
  <si>
    <t>odp. 2c</t>
  </si>
  <si>
    <t>w5,w1,w4,w3,w6,w2</t>
  </si>
  <si>
    <t>s1=s2&lt;s3=s4</t>
  </si>
  <si>
    <t>WNIOSKI  s4 jest elementem najwiekszym</t>
  </si>
  <si>
    <t>s3=s4</t>
  </si>
  <si>
    <t>odp 1b</t>
  </si>
  <si>
    <t>s3&lt;s4</t>
  </si>
  <si>
    <t>s1:</t>
  </si>
  <si>
    <t>w3&gt;w2=w4=w6&gt;w1=w5</t>
  </si>
  <si>
    <t>WNIOSKI  w3 jest elementem najwiekszym</t>
  </si>
  <si>
    <t>odp 1c</t>
  </si>
  <si>
    <t>s2,s1,s4,s3</t>
  </si>
  <si>
    <t>w4=w5&gt;w1=w6&gt;w2&gt;w3</t>
  </si>
  <si>
    <t>WNIOSKI  w4 jest elementem najwiekszym</t>
  </si>
  <si>
    <t>min</t>
  </si>
  <si>
    <t>suma</t>
  </si>
  <si>
    <t>0,6min+0,4max</t>
  </si>
  <si>
    <t>max</t>
  </si>
  <si>
    <t>odp 1d</t>
  </si>
  <si>
    <t>odp 1e</t>
  </si>
  <si>
    <t>odp 1f</t>
  </si>
  <si>
    <t>s5</t>
  </si>
  <si>
    <t>s6</t>
  </si>
  <si>
    <t>w7</t>
  </si>
  <si>
    <t>w8</t>
  </si>
  <si>
    <t>e) Wyznaczyc elementy maksymalne w relacji preferencji wyznaczonej przez porządek oparty na funkcji użyteczności u(w)=średnia</t>
  </si>
  <si>
    <t>f) Wyznaczyc elementy maksymalne w relacji preferencji wyznaczonej przez porządek oparty na funkcji użyteczności u(w)=0,7min+0,3max</t>
  </si>
  <si>
    <t>w3&gt;w4&gt;w6&gt;w2&gt;w5&gt;w1</t>
  </si>
  <si>
    <t>całość</t>
  </si>
  <si>
    <t>g) Wyznaczyc elementy maksymalne w relacji preferencji wyznaczonej przez porządek oparty na funkcji użyteczności u(w)=średnia ważona z wagami 
0,1; 0,2; 0,2; 0,05; 0,3; 0,15</t>
  </si>
  <si>
    <t>c) Wyznaczyc elementy maksymalne w relacji preferencji wyznaczonej przez porządek leksykograficzny ustalając hierarchię celów w kolejności s2,s1,s4,s3</t>
  </si>
  <si>
    <t>WNIOSKI:    Szukając elementów maksymalnych możemy wykreslić w1,w2 i w5, bo są zdominowane przez inne wektory.  Zostają  w3, w4 i w6, które są nieporównywalne, więc są to elementy maksymalne.</t>
  </si>
  <si>
    <t xml:space="preserve">Przykład2 - odwrócona relacja preferencji </t>
  </si>
  <si>
    <t xml:space="preserve">Przykład 1 - relacja preferencji </t>
  </si>
  <si>
    <t>Dane są wektory decyzyjne s1-s4 oraz kryteria w1-w5</t>
  </si>
  <si>
    <t>c) Wyznaczyc elementy maksymalne w odwróconej relacji preferencji wyznaczonej przez porządek leksykograficzny ustalić hierarchię celów w kolejności w5,w3,w1,w4,w2</t>
  </si>
  <si>
    <t>c) Wyznaczyc elementy maksymalne w relacji preferencji wyznaczonej przez porządek leksykograficzny ustalając hierarchię celów w kolejności s2,s5,s1,s6,s4,s3</t>
  </si>
  <si>
    <t>b) Wyznaczyc elementy maksymalne w relacji preferencji wyznaczonej przez porządek leksykograficzny ustalając hierarchię celów w kolejności s1,s2,s3,s4,s5,s6</t>
  </si>
  <si>
    <t>b) Wyznaczyc elementy maksymalne w odwróconej relacji preferencji wyznaczonej przez porządek leksykograficzny, ustalić hierarchię celów w kolejności w1, w2, w3, w4, w5</t>
  </si>
  <si>
    <t>Poniższa tabela przedstawia pewne wektory decyzyjne opisane wierszami oraz kolumnami:</t>
  </si>
  <si>
    <t>w4&gt;w6&gt;w2 ,  w5&gt;w1</t>
  </si>
  <si>
    <t>w4&gt;w5&gt;w6&gt;w1&gt;w2&gt;w3</t>
  </si>
  <si>
    <t>w4&gt;w5,  w6&gt;w1</t>
  </si>
  <si>
    <t>Dane są wektory decyzyjne w1-w8 oraz kryteria s1-s6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</si>
</sst>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b/>
      <sz val="10"/>
      <color rgb="FF000000"/>
      <name val="Arial"/>
      <family val="2"/>
      <charset val="238"/>
    </font>
    <font>
      <sz val="10"/>
      <color rgb="FFFFFFFF"/>
      <name val="Arial"/>
      <family val="2"/>
      <charset val="238"/>
    </font>
    <font>
      <sz val="10"/>
      <color rgb="FFCC0000"/>
      <name val="Arial"/>
      <family val="2"/>
      <charset val="238"/>
    </font>
    <font>
      <b/>
      <sz val="10"/>
      <color rgb="FFFFFFFF"/>
      <name val="Arial"/>
      <family val="2"/>
      <charset val="238"/>
    </font>
    <font>
      <i/>
      <sz val="10"/>
      <color rgb="FF808080"/>
      <name val="Arial"/>
      <family val="2"/>
      <charset val="238"/>
    </font>
    <font>
      <sz val="10"/>
      <color rgb="FF006600"/>
      <name val="Arial"/>
      <family val="2"/>
      <charset val="238"/>
    </font>
    <font>
      <b/>
      <sz val="24"/>
      <color rgb="FF000000"/>
      <name val="Arial"/>
      <family val="2"/>
      <charset val="238"/>
    </font>
    <font>
      <sz val="18"/>
      <color rgb="FF000000"/>
      <name val="Arial"/>
      <family val="2"/>
      <charset val="238"/>
    </font>
    <font>
      <sz val="12"/>
      <color rgb="FF000000"/>
      <name val="Arial"/>
      <family val="2"/>
      <charset val="238"/>
    </font>
    <font>
      <u/>
      <sz val="10"/>
      <color rgb="FF0000EE"/>
      <name val="Arial"/>
      <family val="2"/>
      <charset val="238"/>
    </font>
    <font>
      <sz val="10"/>
      <color rgb="FF996600"/>
      <name val="Arial"/>
      <family val="2"/>
      <charset val="238"/>
    </font>
    <font>
      <sz val="11"/>
      <color rgb="FF000000"/>
      <name val="Czcionka tekstu podstawowego"/>
      <family val="2"/>
      <charset val="238"/>
    </font>
    <font>
      <sz val="10"/>
      <color rgb="FF333333"/>
      <name val="Arial"/>
      <family val="2"/>
      <charset val="238"/>
    </font>
    <font>
      <sz val="10"/>
      <color theme="1"/>
      <name val="Arial1"/>
      <charset val="238"/>
    </font>
    <font>
      <sz val="10"/>
      <color rgb="FF00B050"/>
      <name val="Arial1"/>
      <charset val="238"/>
    </font>
    <font>
      <i/>
      <sz val="10"/>
      <color theme="1"/>
      <name val="Arial1"/>
      <charset val="238"/>
    </font>
    <font>
      <sz val="10"/>
      <color rgb="FFFF0000"/>
      <name val="Arial1"/>
      <charset val="238"/>
    </font>
    <font>
      <b/>
      <sz val="10"/>
      <color rgb="FFFF0000"/>
      <name val="Arial1"/>
      <charset val="238"/>
    </font>
    <font>
      <b/>
      <sz val="10"/>
      <color rgb="FF00B050"/>
      <name val="Arial1"/>
      <charset val="238"/>
    </font>
    <font>
      <sz val="8"/>
      <name val="Arial"/>
      <family val="2"/>
      <charset val="238"/>
    </font>
    <font>
      <b/>
      <sz val="10"/>
      <color theme="1"/>
      <name val="Arial1"/>
      <charset val="238"/>
    </font>
    <font>
      <b/>
      <sz val="11"/>
      <color theme="1"/>
      <name val="Arial"/>
      <family val="2"/>
      <charset val="238"/>
    </font>
    <font>
      <sz val="10"/>
      <name val="Arial1"/>
      <charset val="238"/>
    </font>
    <font>
      <sz val="11"/>
      <name val="Arial"/>
      <family val="2"/>
      <charset val="238"/>
    </font>
  </fonts>
  <fills count="2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6D9F1"/>
        <bgColor rgb="FFC6D9F1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C6D9F1"/>
      </patternFill>
    </fill>
    <fill>
      <patternFill patternType="solid">
        <fgColor theme="9"/>
        <bgColor rgb="FFFFFF00"/>
      </patternFill>
    </fill>
    <fill>
      <patternFill patternType="solid">
        <fgColor theme="9"/>
        <bgColor rgb="FFFFFFFF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0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6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8" borderId="0"/>
    <xf numFmtId="0" fontId="13" fillId="0" borderId="0"/>
    <xf numFmtId="0" fontId="13" fillId="0" borderId="0"/>
    <xf numFmtId="0" fontId="14" fillId="8" borderId="1"/>
    <xf numFmtId="0" fontId="1" fillId="0" borderId="0"/>
    <xf numFmtId="0" fontId="1" fillId="0" borderId="0"/>
    <xf numFmtId="0" fontId="4" fillId="0" borderId="0"/>
  </cellStyleXfs>
  <cellXfs count="51">
    <xf numFmtId="0" fontId="0" fillId="0" borderId="0" xfId="0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0" fillId="9" borderId="2" xfId="0" applyFill="1" applyBorder="1" applyAlignment="1">
      <alignment horizontal="center"/>
    </xf>
    <xf numFmtId="0" fontId="17" fillId="9" borderId="2" xfId="0" applyFont="1" applyFill="1" applyBorder="1" applyAlignment="1">
      <alignment horizontal="center"/>
    </xf>
    <xf numFmtId="0" fontId="15" fillId="9" borderId="2" xfId="0" applyFont="1" applyFill="1" applyBorder="1" applyAlignment="1">
      <alignment horizontal="center"/>
    </xf>
    <xf numFmtId="0" fontId="15" fillId="0" borderId="0" xfId="0" applyFont="1" applyAlignment="1">
      <alignment wrapText="1"/>
    </xf>
    <xf numFmtId="0" fontId="19" fillId="10" borderId="0" xfId="0" applyFont="1" applyFill="1"/>
    <xf numFmtId="0" fontId="15" fillId="11" borderId="0" xfId="0" applyFont="1" applyFill="1"/>
    <xf numFmtId="0" fontId="20" fillId="11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13" borderId="0" xfId="0" applyFill="1"/>
    <xf numFmtId="0" fontId="15" fillId="9" borderId="0" xfId="0" applyFont="1" applyFill="1" applyAlignment="1">
      <alignment horizontal="center"/>
    </xf>
    <xf numFmtId="0" fontId="18" fillId="14" borderId="0" xfId="0" applyFont="1" applyFill="1"/>
    <xf numFmtId="0" fontId="15" fillId="15" borderId="0" xfId="0" applyFont="1" applyFill="1" applyAlignment="1">
      <alignment horizontal="center"/>
    </xf>
    <xf numFmtId="0" fontId="0" fillId="14" borderId="0" xfId="0" applyFill="1"/>
    <xf numFmtId="0" fontId="22" fillId="0" borderId="0" xfId="0" applyFont="1"/>
    <xf numFmtId="0" fontId="15" fillId="11" borderId="0" xfId="0" applyFont="1" applyFill="1" applyAlignment="1">
      <alignment horizontal="center" vertical="center" wrapText="1"/>
    </xf>
    <xf numFmtId="0" fontId="0" fillId="16" borderId="0" xfId="0" applyFill="1"/>
    <xf numFmtId="0" fontId="22" fillId="16" borderId="0" xfId="0" applyFont="1" applyFill="1"/>
    <xf numFmtId="0" fontId="15" fillId="16" borderId="0" xfId="0" applyFont="1" applyFill="1" applyAlignment="1">
      <alignment vertical="center" wrapText="1"/>
    </xf>
    <xf numFmtId="0" fontId="15" fillId="16" borderId="0" xfId="0" applyFont="1" applyFill="1"/>
    <xf numFmtId="0" fontId="15" fillId="16" borderId="0" xfId="0" applyFont="1" applyFill="1" applyAlignment="1">
      <alignment wrapText="1"/>
    </xf>
    <xf numFmtId="0" fontId="15" fillId="17" borderId="0" xfId="0" applyFont="1" applyFill="1" applyAlignment="1">
      <alignment horizontal="center" vertical="center" wrapText="1"/>
    </xf>
    <xf numFmtId="0" fontId="15" fillId="17" borderId="0" xfId="0" applyFont="1" applyFill="1"/>
    <xf numFmtId="0" fontId="16" fillId="16" borderId="0" xfId="0" applyFont="1" applyFill="1"/>
    <xf numFmtId="0" fontId="23" fillId="16" borderId="0" xfId="0" applyFont="1" applyFill="1"/>
    <xf numFmtId="0" fontId="20" fillId="17" borderId="0" xfId="0" applyFont="1" applyFill="1" applyAlignment="1">
      <alignment horizontal="center" vertical="center"/>
    </xf>
    <xf numFmtId="0" fontId="19" fillId="18" borderId="0" xfId="0" applyFont="1" applyFill="1"/>
    <xf numFmtId="0" fontId="15" fillId="0" borderId="3" xfId="0" applyFont="1" applyBorder="1" applyAlignment="1">
      <alignment vertical="center" wrapText="1"/>
    </xf>
    <xf numFmtId="0" fontId="18" fillId="16" borderId="0" xfId="0" applyFont="1" applyFill="1"/>
    <xf numFmtId="0" fontId="15" fillId="19" borderId="0" xfId="0" applyFont="1" applyFill="1" applyAlignment="1">
      <alignment horizontal="center"/>
    </xf>
    <xf numFmtId="0" fontId="15" fillId="0" borderId="0" xfId="0" applyFont="1" applyAlignment="1">
      <alignment vertical="center" wrapText="1"/>
    </xf>
    <xf numFmtId="0" fontId="0" fillId="9" borderId="4" xfId="0" applyFill="1" applyBorder="1" applyAlignment="1">
      <alignment horizontal="center"/>
    </xf>
    <xf numFmtId="0" fontId="0" fillId="20" borderId="3" xfId="0" applyFill="1" applyBorder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5" fillId="20" borderId="3" xfId="0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0" fontId="15" fillId="0" borderId="2" xfId="0" applyFont="1" applyBorder="1" applyAlignment="1">
      <alignment horizontal="center" vertical="center" wrapText="1"/>
    </xf>
    <xf numFmtId="0" fontId="15" fillId="11" borderId="0" xfId="0" applyFont="1" applyFill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15" fillId="11" borderId="0" xfId="0" applyFont="1" applyFill="1" applyAlignment="1">
      <alignment horizontal="center" wrapText="1"/>
    </xf>
    <xf numFmtId="0" fontId="15" fillId="0" borderId="0" xfId="0" applyFont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</cellXfs>
  <cellStyles count="20">
    <cellStyle name="Accent" xfId="1" xr:uid="{00000000-0005-0000-0000-000000000000}"/>
    <cellStyle name="Accent 1" xfId="2" xr:uid="{00000000-0005-0000-0000-000001000000}"/>
    <cellStyle name="Accent 2" xfId="3" xr:uid="{00000000-0005-0000-0000-000002000000}"/>
    <cellStyle name="Accent 3" xfId="4" xr:uid="{00000000-0005-0000-0000-000003000000}"/>
    <cellStyle name="Bad" xfId="5" xr:uid="{00000000-0005-0000-0000-000004000000}"/>
    <cellStyle name="Error" xfId="6" xr:uid="{00000000-0005-0000-0000-000005000000}"/>
    <cellStyle name="Footnote" xfId="7" xr:uid="{00000000-0005-0000-0000-000006000000}"/>
    <cellStyle name="Good" xfId="8" xr:uid="{00000000-0005-0000-0000-000007000000}"/>
    <cellStyle name="Heading (user)" xfId="9" xr:uid="{00000000-0005-0000-0000-000008000000}"/>
    <cellStyle name="Heading 1" xfId="10" xr:uid="{00000000-0005-0000-0000-000009000000}"/>
    <cellStyle name="Heading 2" xfId="11" xr:uid="{00000000-0005-0000-0000-00000A000000}"/>
    <cellStyle name="Hyperlink" xfId="12" xr:uid="{00000000-0005-0000-0000-00000B000000}"/>
    <cellStyle name="Neutral" xfId="13" xr:uid="{00000000-0005-0000-0000-00000C000000}"/>
    <cellStyle name="Normalny" xfId="0" builtinId="0" customBuiltin="1"/>
    <cellStyle name="Normalny 2" xfId="14" xr:uid="{00000000-0005-0000-0000-00000E000000}"/>
    <cellStyle name="Normalny 3" xfId="15" xr:uid="{00000000-0005-0000-0000-00000F000000}"/>
    <cellStyle name="Note" xfId="16" xr:uid="{00000000-0005-0000-0000-000010000000}"/>
    <cellStyle name="Status" xfId="17" xr:uid="{00000000-0005-0000-0000-000011000000}"/>
    <cellStyle name="Text" xfId="18" xr:uid="{00000000-0005-0000-0000-000012000000}"/>
    <cellStyle name="Warning" xfId="19" xr:uid="{00000000-0005-0000-0000-00001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80"/>
  <sheetViews>
    <sheetView topLeftCell="A28" zoomScale="112" zoomScaleNormal="112" workbookViewId="0">
      <selection activeCell="I71" sqref="I71"/>
    </sheetView>
  </sheetViews>
  <sheetFormatPr defaultRowHeight="14.25"/>
  <cols>
    <col min="1" max="1" width="4" customWidth="1"/>
    <col min="2" max="2" width="9" customWidth="1"/>
    <col min="3" max="3" width="4.75" customWidth="1"/>
    <col min="4" max="4" width="5.75" customWidth="1"/>
    <col min="5" max="5" width="6.125" customWidth="1"/>
    <col min="6" max="6" width="7.5" customWidth="1"/>
    <col min="7" max="7" width="15.625" customWidth="1"/>
    <col min="8" max="9" width="37" customWidth="1"/>
    <col min="10" max="10" width="3.75" style="25" customWidth="1"/>
    <col min="11" max="11" width="13" customWidth="1"/>
    <col min="12" max="13" width="6.875" customWidth="1"/>
    <col min="14" max="14" width="8.625" customWidth="1"/>
    <col min="15" max="16" width="5.875" customWidth="1"/>
    <col min="17" max="17" width="5.5" customWidth="1"/>
    <col min="18" max="1026" width="8" customWidth="1"/>
  </cols>
  <sheetData>
    <row r="1" spans="2:21">
      <c r="J1"/>
    </row>
    <row r="2" spans="2:21">
      <c r="B2" t="s">
        <v>99</v>
      </c>
      <c r="J2"/>
    </row>
    <row r="3" spans="2:21">
      <c r="B3" s="4"/>
      <c r="C3" s="2" t="s">
        <v>6</v>
      </c>
      <c r="D3" s="2" t="s">
        <v>7</v>
      </c>
      <c r="E3" s="2" t="s">
        <v>8</v>
      </c>
      <c r="F3" s="2" t="s">
        <v>9</v>
      </c>
      <c r="J3"/>
    </row>
    <row r="4" spans="2:21">
      <c r="B4" s="4" t="s">
        <v>10</v>
      </c>
      <c r="C4" s="5">
        <v>3</v>
      </c>
      <c r="D4" s="5">
        <v>2</v>
      </c>
      <c r="E4" s="5">
        <v>1</v>
      </c>
      <c r="F4" s="5">
        <v>1</v>
      </c>
      <c r="J4"/>
    </row>
    <row r="5" spans="2:21">
      <c r="B5" s="4" t="s">
        <v>11</v>
      </c>
      <c r="C5" s="5">
        <v>4</v>
      </c>
      <c r="D5" s="5">
        <v>1</v>
      </c>
      <c r="E5" s="5">
        <v>-3</v>
      </c>
      <c r="F5" s="5">
        <v>2</v>
      </c>
      <c r="J5"/>
    </row>
    <row r="6" spans="2:21">
      <c r="B6" s="4" t="s">
        <v>12</v>
      </c>
      <c r="C6" s="5">
        <v>5</v>
      </c>
      <c r="D6" s="5">
        <v>0</v>
      </c>
      <c r="E6" s="5">
        <v>-5</v>
      </c>
      <c r="F6" s="5">
        <v>1</v>
      </c>
      <c r="J6"/>
    </row>
    <row r="7" spans="2:21">
      <c r="B7" s="4" t="s">
        <v>13</v>
      </c>
      <c r="C7" s="6">
        <v>4</v>
      </c>
      <c r="D7" s="6">
        <v>3</v>
      </c>
      <c r="E7" s="6">
        <v>4</v>
      </c>
      <c r="F7" s="6">
        <v>3</v>
      </c>
      <c r="J7"/>
    </row>
    <row r="8" spans="2:21">
      <c r="B8" s="4" t="s">
        <v>14</v>
      </c>
      <c r="C8" s="7">
        <v>3</v>
      </c>
      <c r="D8" s="7">
        <v>3</v>
      </c>
      <c r="E8" s="7">
        <v>1</v>
      </c>
      <c r="F8" s="7">
        <v>1</v>
      </c>
      <c r="J8"/>
    </row>
    <row r="9" spans="2:21">
      <c r="B9" s="4" t="s">
        <v>15</v>
      </c>
      <c r="C9" s="7">
        <v>4</v>
      </c>
      <c r="D9" s="7">
        <v>2</v>
      </c>
      <c r="E9" s="7">
        <v>4</v>
      </c>
      <c r="F9" s="7">
        <v>5</v>
      </c>
      <c r="J9"/>
    </row>
    <row r="10" spans="2:21" hidden="1">
      <c r="B10" s="4"/>
      <c r="C10" s="19"/>
      <c r="D10" s="19"/>
      <c r="E10" s="19"/>
      <c r="F10" s="19"/>
      <c r="J10"/>
    </row>
    <row r="11" spans="2:21" s="25" customFormat="1" hidden="1">
      <c r="B11" s="37"/>
      <c r="C11" s="38"/>
      <c r="D11" s="38"/>
      <c r="E11" s="38"/>
      <c r="F11" s="38"/>
    </row>
    <row r="12" spans="2:21" hidden="1">
      <c r="B12" s="4"/>
      <c r="C12" s="19"/>
      <c r="D12" s="19"/>
      <c r="E12" s="19"/>
      <c r="F12" s="19"/>
    </row>
    <row r="13" spans="2:21" hidden="1">
      <c r="B13" s="1"/>
      <c r="H13" s="23" t="s">
        <v>93</v>
      </c>
      <c r="I13" s="23"/>
      <c r="J13" s="26"/>
    </row>
    <row r="14" spans="2:21" ht="25.5">
      <c r="B14" s="1"/>
      <c r="C14" s="1" t="s">
        <v>0</v>
      </c>
      <c r="H14" s="36" t="s">
        <v>1</v>
      </c>
      <c r="I14" s="39"/>
      <c r="J14" s="27"/>
      <c r="R14" s="23" t="s">
        <v>92</v>
      </c>
    </row>
    <row r="15" spans="2:21" ht="38.25">
      <c r="C15" s="2"/>
      <c r="D15" s="2"/>
      <c r="E15" s="2"/>
      <c r="F15" s="2"/>
      <c r="H15" s="36" t="s">
        <v>2</v>
      </c>
      <c r="I15" s="39"/>
      <c r="J15" s="27"/>
      <c r="L15" s="1"/>
      <c r="M15" s="1" t="s">
        <v>16</v>
      </c>
      <c r="R15" s="50" t="s">
        <v>17</v>
      </c>
      <c r="S15" s="50"/>
      <c r="T15" s="50"/>
      <c r="U15" s="50"/>
    </row>
    <row r="16" spans="2:21" ht="51">
      <c r="H16" s="36" t="s">
        <v>90</v>
      </c>
      <c r="I16" s="39"/>
      <c r="J16" s="27"/>
      <c r="L16" s="1"/>
      <c r="M16" s="49" t="s">
        <v>18</v>
      </c>
      <c r="N16" s="49"/>
      <c r="O16" s="49"/>
      <c r="P16" s="49"/>
      <c r="Q16" s="49"/>
      <c r="R16" s="50" t="s">
        <v>19</v>
      </c>
      <c r="S16" s="50"/>
      <c r="T16" s="50"/>
      <c r="U16" s="50"/>
    </row>
    <row r="17" spans="2:21" ht="69" customHeight="1">
      <c r="H17" s="36" t="s">
        <v>3</v>
      </c>
      <c r="I17" s="39"/>
      <c r="J17" s="27"/>
      <c r="M17" s="49"/>
      <c r="N17" s="49"/>
      <c r="O17" s="49"/>
      <c r="P17" s="49"/>
      <c r="Q17" s="49"/>
      <c r="R17" s="50" t="s">
        <v>20</v>
      </c>
      <c r="S17" s="50"/>
      <c r="T17" s="50"/>
      <c r="U17" s="50"/>
    </row>
    <row r="18" spans="2:21" ht="38.25">
      <c r="H18" s="36" t="s">
        <v>4</v>
      </c>
      <c r="I18" s="39"/>
      <c r="J18" s="27"/>
    </row>
    <row r="19" spans="2:21" ht="38.25">
      <c r="H19" s="36" t="s">
        <v>5</v>
      </c>
      <c r="I19" s="39"/>
      <c r="J19" s="27"/>
      <c r="M19" s="1"/>
    </row>
    <row r="20" spans="2:21" s="3" customFormat="1" ht="12.75">
      <c r="H20" s="1"/>
      <c r="I20" s="1"/>
      <c r="J20" s="28"/>
    </row>
    <row r="21" spans="2:21">
      <c r="B21" s="4"/>
      <c r="C21" s="19"/>
      <c r="D21" s="19"/>
      <c r="E21" s="19"/>
      <c r="F21" s="19"/>
      <c r="G21" s="4"/>
    </row>
    <row r="22" spans="2:21" s="22" customFormat="1">
      <c r="B22" s="20"/>
      <c r="C22" s="21"/>
      <c r="D22" s="21"/>
      <c r="E22" s="21"/>
      <c r="F22" s="21"/>
      <c r="G22" s="20"/>
      <c r="J22" s="25"/>
    </row>
    <row r="23" spans="2:21">
      <c r="H23" s="8"/>
      <c r="I23" s="8"/>
      <c r="J23" s="29"/>
      <c r="M23" s="1"/>
    </row>
    <row r="24" spans="2:21">
      <c r="H24" s="8"/>
      <c r="I24" s="8"/>
      <c r="J24" s="29"/>
    </row>
    <row r="25" spans="2:21">
      <c r="B25" s="4"/>
      <c r="C25" s="2" t="s">
        <v>6</v>
      </c>
      <c r="D25" s="2" t="s">
        <v>7</v>
      </c>
      <c r="E25" s="2" t="s">
        <v>8</v>
      </c>
      <c r="F25" s="2" t="s">
        <v>9</v>
      </c>
      <c r="H25" s="8"/>
      <c r="I25" s="8"/>
      <c r="J25" s="29"/>
      <c r="M25" s="1"/>
    </row>
    <row r="26" spans="2:21">
      <c r="B26" s="4" t="s">
        <v>10</v>
      </c>
      <c r="C26" s="17">
        <f>C4</f>
        <v>3</v>
      </c>
      <c r="D26" s="17">
        <f t="shared" ref="D26:F26" si="0">D4</f>
        <v>2</v>
      </c>
      <c r="E26" s="17">
        <f t="shared" si="0"/>
        <v>1</v>
      </c>
      <c r="F26" s="17">
        <f t="shared" si="0"/>
        <v>1</v>
      </c>
    </row>
    <row r="27" spans="2:21">
      <c r="B27" s="4" t="s">
        <v>11</v>
      </c>
      <c r="C27" s="17">
        <f t="shared" ref="C27:F27" si="1">C5</f>
        <v>4</v>
      </c>
      <c r="D27" s="17">
        <f t="shared" si="1"/>
        <v>1</v>
      </c>
      <c r="E27" s="17">
        <f t="shared" si="1"/>
        <v>-3</v>
      </c>
      <c r="F27" s="17">
        <f t="shared" si="1"/>
        <v>2</v>
      </c>
    </row>
    <row r="28" spans="2:21">
      <c r="B28" s="4" t="s">
        <v>12</v>
      </c>
      <c r="C28" s="17">
        <f t="shared" ref="C28:F28" si="2">C6</f>
        <v>5</v>
      </c>
      <c r="D28" s="17">
        <f t="shared" si="2"/>
        <v>0</v>
      </c>
      <c r="E28" s="17">
        <f t="shared" si="2"/>
        <v>-5</v>
      </c>
      <c r="F28" s="17">
        <f t="shared" si="2"/>
        <v>1</v>
      </c>
    </row>
    <row r="29" spans="2:21">
      <c r="B29" s="4" t="s">
        <v>13</v>
      </c>
      <c r="C29" s="17">
        <f t="shared" ref="C29:F29" si="3">C7</f>
        <v>4</v>
      </c>
      <c r="D29" s="17">
        <f t="shared" si="3"/>
        <v>3</v>
      </c>
      <c r="E29" s="17">
        <f t="shared" si="3"/>
        <v>4</v>
      </c>
      <c r="F29" s="17">
        <f t="shared" si="3"/>
        <v>3</v>
      </c>
    </row>
    <row r="30" spans="2:21">
      <c r="B30" s="4" t="s">
        <v>14</v>
      </c>
      <c r="C30" s="17">
        <f t="shared" ref="C30:F30" si="4">C8</f>
        <v>3</v>
      </c>
      <c r="D30" s="17">
        <f t="shared" si="4"/>
        <v>3</v>
      </c>
      <c r="E30" s="17">
        <f t="shared" si="4"/>
        <v>1</v>
      </c>
      <c r="F30" s="17">
        <f t="shared" si="4"/>
        <v>1</v>
      </c>
    </row>
    <row r="31" spans="2:21">
      <c r="B31" s="4" t="s">
        <v>15</v>
      </c>
      <c r="C31" s="17">
        <f t="shared" ref="C31:F31" si="5">C9</f>
        <v>4</v>
      </c>
      <c r="D31" s="17">
        <f t="shared" si="5"/>
        <v>2</v>
      </c>
      <c r="E31" s="17">
        <f t="shared" si="5"/>
        <v>4</v>
      </c>
      <c r="F31" s="17">
        <f t="shared" si="5"/>
        <v>5</v>
      </c>
    </row>
    <row r="33" spans="2:17">
      <c r="B33" s="9" t="s">
        <v>21</v>
      </c>
      <c r="K33" s="9" t="s">
        <v>22</v>
      </c>
    </row>
    <row r="34" spans="2:17">
      <c r="B34" s="4" t="s">
        <v>23</v>
      </c>
      <c r="C34">
        <f>IF(C$26&lt;C27,0,(IF(C$26&gt;C27,1,"=")))</f>
        <v>0</v>
      </c>
      <c r="D34">
        <f>IF(D26&lt;D27,0,(IF(D26&gt;D27,1,"=")))</f>
        <v>1</v>
      </c>
      <c r="E34">
        <f>IF(E26&lt;E27,0,(IF(E26&gt;E27,1,"=")))</f>
        <v>1</v>
      </c>
      <c r="F34">
        <f>IF(F26&lt;F27,0,(IF(F26&gt;F27,1,"=")))</f>
        <v>0</v>
      </c>
      <c r="G34" s="1" t="s">
        <v>24</v>
      </c>
      <c r="H34" s="46" t="s">
        <v>91</v>
      </c>
      <c r="I34" s="24"/>
      <c r="J34" s="30"/>
      <c r="L34" s="1" t="s">
        <v>25</v>
      </c>
      <c r="M34" s="1" t="s">
        <v>26</v>
      </c>
      <c r="N34" s="1" t="s">
        <v>27</v>
      </c>
      <c r="O34" s="1" t="s">
        <v>28</v>
      </c>
      <c r="P34" s="1" t="s">
        <v>29</v>
      </c>
      <c r="Q34" s="1" t="s">
        <v>30</v>
      </c>
    </row>
    <row r="35" spans="2:17">
      <c r="B35" s="4" t="s">
        <v>31</v>
      </c>
      <c r="C35" s="18">
        <f>IF(C$26&lt;C28,0,(IF(C$26&gt;C28,1,"=")))</f>
        <v>0</v>
      </c>
      <c r="D35">
        <f t="shared" ref="D35:F38" si="6">IF(D$26&lt;D28,0,(IF(D$26&gt;D28,1,"=")))</f>
        <v>1</v>
      </c>
      <c r="E35">
        <f t="shared" si="6"/>
        <v>1</v>
      </c>
      <c r="F35" t="str">
        <f t="shared" si="6"/>
        <v>=</v>
      </c>
      <c r="G35" s="1" t="s">
        <v>24</v>
      </c>
      <c r="H35" s="46"/>
      <c r="I35" s="24"/>
      <c r="J35" s="30"/>
      <c r="L35">
        <f t="shared" ref="L35:L40" si="7">IF(C26&gt;D26,0,(IF(C26&lt;D26,1,"=")))</f>
        <v>0</v>
      </c>
      <c r="M35">
        <f t="shared" ref="M35:M40" si="8">IF(C26&gt;E26,0,(IF(C26&lt;E26,1,"=")))</f>
        <v>0</v>
      </c>
      <c r="N35">
        <f t="shared" ref="N35:N40" si="9">IF(C26&gt;F26,0,(IF(C26&lt;F26,1,"=")))</f>
        <v>0</v>
      </c>
      <c r="O35">
        <f t="shared" ref="O35:O40" si="10">IF(D26&gt;F26,0,(IF(D26&lt;F26,1,"=")))</f>
        <v>0</v>
      </c>
      <c r="P35">
        <f t="shared" ref="P35:P40" si="11">IF(D26&gt;F26,0,(IF(D26&lt;F26,1,"=")))</f>
        <v>0</v>
      </c>
      <c r="Q35" t="str">
        <f t="shared" ref="Q35:Q40" si="12">IF(E26&gt;F26,0,(IF(E26&lt;F26,1,"=")))</f>
        <v>=</v>
      </c>
    </row>
    <row r="36" spans="2:17">
      <c r="B36" s="4" t="s">
        <v>32</v>
      </c>
      <c r="C36">
        <f>IF(C$26&lt;C29,0,(IF(C$26&gt;C29,1,"=")))</f>
        <v>0</v>
      </c>
      <c r="D36">
        <f t="shared" si="6"/>
        <v>0</v>
      </c>
      <c r="E36">
        <f t="shared" si="6"/>
        <v>0</v>
      </c>
      <c r="F36">
        <f t="shared" si="6"/>
        <v>0</v>
      </c>
      <c r="G36" s="1" t="s">
        <v>33</v>
      </c>
      <c r="H36" s="46"/>
      <c r="I36" s="24"/>
      <c r="J36" s="30"/>
      <c r="L36">
        <f t="shared" si="7"/>
        <v>0</v>
      </c>
      <c r="M36">
        <f t="shared" si="8"/>
        <v>0</v>
      </c>
      <c r="N36">
        <f t="shared" si="9"/>
        <v>0</v>
      </c>
      <c r="O36">
        <f t="shared" si="10"/>
        <v>1</v>
      </c>
      <c r="P36">
        <f t="shared" si="11"/>
        <v>1</v>
      </c>
      <c r="Q36">
        <f t="shared" si="12"/>
        <v>1</v>
      </c>
    </row>
    <row r="37" spans="2:17">
      <c r="B37" s="4" t="s">
        <v>34</v>
      </c>
      <c r="C37" t="str">
        <f>IF(C$26&lt;C30,0,(IF(C$26&gt;C30,1,"=")))</f>
        <v>=</v>
      </c>
      <c r="D37">
        <f t="shared" si="6"/>
        <v>0</v>
      </c>
      <c r="E37" t="str">
        <f t="shared" si="6"/>
        <v>=</v>
      </c>
      <c r="F37" t="str">
        <f t="shared" si="6"/>
        <v>=</v>
      </c>
      <c r="G37" s="1" t="s">
        <v>35</v>
      </c>
      <c r="H37" s="46"/>
      <c r="I37" s="24"/>
      <c r="J37" s="30"/>
      <c r="L37">
        <f t="shared" si="7"/>
        <v>0</v>
      </c>
      <c r="M37">
        <f t="shared" si="8"/>
        <v>0</v>
      </c>
      <c r="N37">
        <f t="shared" si="9"/>
        <v>0</v>
      </c>
      <c r="O37">
        <f t="shared" si="10"/>
        <v>1</v>
      </c>
      <c r="P37">
        <f t="shared" si="11"/>
        <v>1</v>
      </c>
      <c r="Q37">
        <f t="shared" si="12"/>
        <v>1</v>
      </c>
    </row>
    <row r="38" spans="2:17">
      <c r="B38" s="4" t="s">
        <v>36</v>
      </c>
      <c r="C38">
        <f>IF(C$26&lt;C31,0,(IF(C$26&gt;C31,1,"=")))</f>
        <v>0</v>
      </c>
      <c r="D38" t="str">
        <f t="shared" si="6"/>
        <v>=</v>
      </c>
      <c r="E38">
        <f t="shared" si="6"/>
        <v>0</v>
      </c>
      <c r="F38">
        <f t="shared" si="6"/>
        <v>0</v>
      </c>
      <c r="G38" s="1" t="s">
        <v>37</v>
      </c>
      <c r="H38" s="46"/>
      <c r="I38" s="24"/>
      <c r="J38" s="30"/>
      <c r="L38">
        <f t="shared" si="7"/>
        <v>0</v>
      </c>
      <c r="M38" t="str">
        <f t="shared" si="8"/>
        <v>=</v>
      </c>
      <c r="N38">
        <f t="shared" si="9"/>
        <v>0</v>
      </c>
      <c r="O38" t="str">
        <f t="shared" si="10"/>
        <v>=</v>
      </c>
      <c r="P38" t="str">
        <f t="shared" si="11"/>
        <v>=</v>
      </c>
      <c r="Q38">
        <f t="shared" si="12"/>
        <v>0</v>
      </c>
    </row>
    <row r="39" spans="2:17">
      <c r="B39" s="4" t="s">
        <v>38</v>
      </c>
      <c r="C39">
        <f t="shared" ref="C39:F42" si="13">IF(C$27&lt;C28,0,(IF(C$27&gt;C28,1,"=")))</f>
        <v>0</v>
      </c>
      <c r="D39">
        <f t="shared" si="13"/>
        <v>1</v>
      </c>
      <c r="E39">
        <f t="shared" si="13"/>
        <v>1</v>
      </c>
      <c r="F39">
        <f t="shared" si="13"/>
        <v>1</v>
      </c>
      <c r="G39" s="1" t="s">
        <v>24</v>
      </c>
      <c r="L39" t="str">
        <f t="shared" si="7"/>
        <v>=</v>
      </c>
      <c r="M39">
        <f t="shared" si="8"/>
        <v>0</v>
      </c>
      <c r="N39">
        <f t="shared" si="9"/>
        <v>0</v>
      </c>
      <c r="O39">
        <f t="shared" si="10"/>
        <v>0</v>
      </c>
      <c r="P39">
        <f t="shared" si="11"/>
        <v>0</v>
      </c>
      <c r="Q39" t="str">
        <f t="shared" si="12"/>
        <v>=</v>
      </c>
    </row>
    <row r="40" spans="2:17">
      <c r="B40" s="4" t="s">
        <v>39</v>
      </c>
      <c r="C40" t="str">
        <f t="shared" si="13"/>
        <v>=</v>
      </c>
      <c r="D40">
        <f t="shared" si="13"/>
        <v>0</v>
      </c>
      <c r="E40">
        <f t="shared" si="13"/>
        <v>0</v>
      </c>
      <c r="F40">
        <f t="shared" si="13"/>
        <v>0</v>
      </c>
      <c r="G40" s="1" t="s">
        <v>40</v>
      </c>
      <c r="L40">
        <f t="shared" si="7"/>
        <v>0</v>
      </c>
      <c r="M40" t="str">
        <f t="shared" si="8"/>
        <v>=</v>
      </c>
      <c r="N40">
        <f t="shared" si="9"/>
        <v>1</v>
      </c>
      <c r="O40">
        <f t="shared" si="10"/>
        <v>1</v>
      </c>
      <c r="P40">
        <f t="shared" si="11"/>
        <v>1</v>
      </c>
      <c r="Q40">
        <f t="shared" si="12"/>
        <v>1</v>
      </c>
    </row>
    <row r="41" spans="2:17">
      <c r="B41" s="4" t="s">
        <v>41</v>
      </c>
      <c r="C41">
        <f t="shared" si="13"/>
        <v>1</v>
      </c>
      <c r="D41">
        <f t="shared" si="13"/>
        <v>0</v>
      </c>
      <c r="E41">
        <f t="shared" si="13"/>
        <v>0</v>
      </c>
      <c r="F41">
        <f t="shared" si="13"/>
        <v>1</v>
      </c>
      <c r="G41" s="1" t="s">
        <v>24</v>
      </c>
      <c r="L41" t="s">
        <v>42</v>
      </c>
      <c r="M41" t="s">
        <v>43</v>
      </c>
      <c r="N41" t="s">
        <v>44</v>
      </c>
      <c r="O41" t="s">
        <v>44</v>
      </c>
      <c r="P41" t="s">
        <v>44</v>
      </c>
      <c r="Q41" t="s">
        <v>44</v>
      </c>
    </row>
    <row r="42" spans="2:17">
      <c r="B42" s="4" t="s">
        <v>45</v>
      </c>
      <c r="C42" t="str">
        <f t="shared" si="13"/>
        <v>=</v>
      </c>
      <c r="D42">
        <f t="shared" si="13"/>
        <v>0</v>
      </c>
      <c r="E42">
        <f t="shared" si="13"/>
        <v>0</v>
      </c>
      <c r="F42">
        <f t="shared" si="13"/>
        <v>0</v>
      </c>
      <c r="G42" s="1" t="s">
        <v>46</v>
      </c>
    </row>
    <row r="43" spans="2:17">
      <c r="B43" s="4" t="s">
        <v>47</v>
      </c>
      <c r="C43">
        <f t="shared" ref="C43:F45" si="14">IF(C$28&lt;C29,0,(IF(C$28&gt;C29,1,"=")))</f>
        <v>1</v>
      </c>
      <c r="D43">
        <f t="shared" si="14"/>
        <v>0</v>
      </c>
      <c r="E43">
        <f t="shared" si="14"/>
        <v>0</v>
      </c>
      <c r="F43">
        <f t="shared" si="14"/>
        <v>0</v>
      </c>
      <c r="G43" s="1" t="s">
        <v>24</v>
      </c>
      <c r="L43" s="47" t="s">
        <v>48</v>
      </c>
      <c r="M43" s="47"/>
      <c r="N43" s="47"/>
      <c r="O43" s="47"/>
      <c r="P43" s="47"/>
      <c r="Q43" s="47"/>
    </row>
    <row r="44" spans="2:17">
      <c r="B44" s="4" t="s">
        <v>49</v>
      </c>
      <c r="C44">
        <f t="shared" si="14"/>
        <v>1</v>
      </c>
      <c r="D44">
        <f t="shared" si="14"/>
        <v>0</v>
      </c>
      <c r="E44">
        <f t="shared" si="14"/>
        <v>0</v>
      </c>
      <c r="F44" t="str">
        <f t="shared" si="14"/>
        <v>=</v>
      </c>
      <c r="G44" s="1" t="s">
        <v>24</v>
      </c>
      <c r="L44" s="47"/>
      <c r="M44" s="47"/>
      <c r="N44" s="47"/>
      <c r="O44" s="47"/>
      <c r="P44" s="47"/>
      <c r="Q44" s="47"/>
    </row>
    <row r="45" spans="2:17">
      <c r="B45" s="4" t="s">
        <v>50</v>
      </c>
      <c r="C45">
        <f t="shared" si="14"/>
        <v>1</v>
      </c>
      <c r="D45">
        <f t="shared" si="14"/>
        <v>0</v>
      </c>
      <c r="E45">
        <f t="shared" si="14"/>
        <v>0</v>
      </c>
      <c r="F45">
        <f t="shared" si="14"/>
        <v>0</v>
      </c>
      <c r="G45" s="1" t="s">
        <v>24</v>
      </c>
      <c r="L45" s="47"/>
      <c r="M45" s="47"/>
      <c r="N45" s="47"/>
      <c r="O45" s="47"/>
      <c r="P45" s="47"/>
      <c r="Q45" s="47"/>
    </row>
    <row r="46" spans="2:17">
      <c r="B46" s="4" t="s">
        <v>51</v>
      </c>
      <c r="C46">
        <f t="shared" ref="C46:F47" si="15">IF(C$29&lt;C30,0,(IF(C$29&gt;C30,1,"=")))</f>
        <v>1</v>
      </c>
      <c r="D46" t="str">
        <f t="shared" si="15"/>
        <v>=</v>
      </c>
      <c r="E46">
        <f t="shared" si="15"/>
        <v>1</v>
      </c>
      <c r="F46">
        <f t="shared" si="15"/>
        <v>1</v>
      </c>
      <c r="G46" s="1" t="s">
        <v>52</v>
      </c>
      <c r="L46" s="47"/>
      <c r="M46" s="47"/>
      <c r="N46" s="47"/>
      <c r="O46" s="47"/>
      <c r="P46" s="47"/>
      <c r="Q46" s="47"/>
    </row>
    <row r="47" spans="2:17">
      <c r="B47" s="4" t="s">
        <v>53</v>
      </c>
      <c r="C47" t="str">
        <f t="shared" si="15"/>
        <v>=</v>
      </c>
      <c r="D47">
        <f t="shared" si="15"/>
        <v>1</v>
      </c>
      <c r="E47" t="str">
        <f t="shared" si="15"/>
        <v>=</v>
      </c>
      <c r="F47">
        <f t="shared" si="15"/>
        <v>0</v>
      </c>
      <c r="G47" s="1" t="s">
        <v>24</v>
      </c>
    </row>
    <row r="48" spans="2:17">
      <c r="B48" s="4" t="s">
        <v>54</v>
      </c>
      <c r="C48">
        <f>IF(C$30&lt;C31,0,(IF(C$30&gt;C31,1,"=")))</f>
        <v>0</v>
      </c>
      <c r="D48">
        <f>IF(D$30&lt;D31,0,(IF(D$30&gt;D31,1,"=")))</f>
        <v>1</v>
      </c>
      <c r="E48">
        <f>IF(E$30&lt;E31,0,(IF(E$30&gt;E31,1,"=")))</f>
        <v>0</v>
      </c>
      <c r="F48">
        <f>IF(F$30&lt;F31,0,(IF(F$30&gt;F31,1,"=")))</f>
        <v>0</v>
      </c>
      <c r="G48" s="1" t="s">
        <v>24</v>
      </c>
    </row>
    <row r="52" spans="2:17">
      <c r="B52" s="4"/>
      <c r="C52" s="2" t="s">
        <v>6</v>
      </c>
      <c r="D52" s="2" t="s">
        <v>7</v>
      </c>
      <c r="E52" s="2" t="s">
        <v>8</v>
      </c>
      <c r="F52" s="2" t="s">
        <v>9</v>
      </c>
      <c r="G52" s="2"/>
      <c r="K52" s="9" t="s">
        <v>55</v>
      </c>
    </row>
    <row r="53" spans="2:17">
      <c r="B53" s="4" t="s">
        <v>10</v>
      </c>
      <c r="C53" s="17">
        <f>C4</f>
        <v>3</v>
      </c>
      <c r="D53" s="17">
        <f t="shared" ref="D53:F53" si="16">D4</f>
        <v>2</v>
      </c>
      <c r="E53" s="17">
        <f t="shared" si="16"/>
        <v>1</v>
      </c>
      <c r="F53" s="17">
        <f t="shared" si="16"/>
        <v>1</v>
      </c>
      <c r="K53" t="s">
        <v>56</v>
      </c>
      <c r="L53" t="s">
        <v>57</v>
      </c>
      <c r="N53" s="48" t="s">
        <v>58</v>
      </c>
      <c r="O53" s="48"/>
      <c r="P53" s="48"/>
      <c r="Q53" s="48"/>
    </row>
    <row r="54" spans="2:17">
      <c r="B54" s="4" t="s">
        <v>11</v>
      </c>
      <c r="C54" s="17">
        <f t="shared" ref="C54:F54" si="17">C5</f>
        <v>4</v>
      </c>
      <c r="D54" s="17">
        <f t="shared" si="17"/>
        <v>1</v>
      </c>
      <c r="E54" s="17">
        <f t="shared" si="17"/>
        <v>-3</v>
      </c>
      <c r="F54" s="17">
        <f t="shared" si="17"/>
        <v>2</v>
      </c>
      <c r="K54" t="s">
        <v>11</v>
      </c>
      <c r="L54" t="s">
        <v>59</v>
      </c>
      <c r="N54" s="48"/>
      <c r="O54" s="48"/>
      <c r="P54" s="48"/>
      <c r="Q54" s="48"/>
    </row>
    <row r="55" spans="2:17">
      <c r="B55" s="4" t="s">
        <v>12</v>
      </c>
      <c r="C55" s="17">
        <f t="shared" ref="C55:F55" si="18">C6</f>
        <v>5</v>
      </c>
      <c r="D55" s="17">
        <f t="shared" si="18"/>
        <v>0</v>
      </c>
      <c r="E55" s="17">
        <f t="shared" si="18"/>
        <v>-5</v>
      </c>
      <c r="F55" s="17">
        <f t="shared" si="18"/>
        <v>1</v>
      </c>
    </row>
    <row r="56" spans="2:17">
      <c r="B56" s="4" t="s">
        <v>13</v>
      </c>
      <c r="C56" s="17">
        <f t="shared" ref="C56:F56" si="19">C7</f>
        <v>4</v>
      </c>
      <c r="D56" s="17">
        <f t="shared" si="19"/>
        <v>3</v>
      </c>
      <c r="E56" s="17">
        <f t="shared" si="19"/>
        <v>4</v>
      </c>
      <c r="F56" s="17">
        <f t="shared" si="19"/>
        <v>3</v>
      </c>
    </row>
    <row r="57" spans="2:17">
      <c r="B57" s="4" t="s">
        <v>14</v>
      </c>
      <c r="C57" s="17">
        <f t="shared" ref="C57:F57" si="20">C8</f>
        <v>3</v>
      </c>
      <c r="D57" s="17">
        <f t="shared" si="20"/>
        <v>3</v>
      </c>
      <c r="E57" s="17">
        <f t="shared" si="20"/>
        <v>1</v>
      </c>
      <c r="F57" s="17">
        <f t="shared" si="20"/>
        <v>1</v>
      </c>
      <c r="K57" s="9" t="s">
        <v>60</v>
      </c>
      <c r="L57" t="s">
        <v>61</v>
      </c>
    </row>
    <row r="58" spans="2:17">
      <c r="B58" s="4" t="s">
        <v>15</v>
      </c>
      <c r="C58" s="17">
        <f t="shared" ref="C58:F58" si="21">C9</f>
        <v>4</v>
      </c>
      <c r="D58" s="17">
        <f t="shared" si="21"/>
        <v>2</v>
      </c>
      <c r="E58" s="17">
        <f t="shared" si="21"/>
        <v>4</v>
      </c>
      <c r="F58" s="17">
        <f t="shared" si="21"/>
        <v>5</v>
      </c>
      <c r="K58" t="s">
        <v>14</v>
      </c>
      <c r="L58" t="s">
        <v>62</v>
      </c>
      <c r="N58" s="48" t="s">
        <v>63</v>
      </c>
      <c r="O58" s="48"/>
      <c r="P58" s="48"/>
      <c r="Q58" s="48"/>
    </row>
    <row r="59" spans="2:17">
      <c r="K59" t="s">
        <v>10</v>
      </c>
      <c r="L59" t="s">
        <v>64</v>
      </c>
      <c r="N59" s="48"/>
      <c r="O59" s="48"/>
      <c r="P59" s="48"/>
      <c r="Q59" s="48"/>
    </row>
    <row r="60" spans="2:17">
      <c r="B60" s="9" t="s">
        <v>65</v>
      </c>
      <c r="K60" t="s">
        <v>13</v>
      </c>
      <c r="L60" t="s">
        <v>66</v>
      </c>
    </row>
    <row r="61" spans="2:17">
      <c r="B61" s="4" t="s">
        <v>67</v>
      </c>
      <c r="C61" s="1" t="s">
        <v>68</v>
      </c>
      <c r="H61" s="10" t="s">
        <v>69</v>
      </c>
      <c r="I61" s="10"/>
      <c r="J61" s="31"/>
    </row>
    <row r="62" spans="2:17">
      <c r="B62" s="4" t="s">
        <v>7</v>
      </c>
      <c r="C62" s="1" t="s">
        <v>100</v>
      </c>
      <c r="H62" s="10"/>
      <c r="I62" s="10"/>
      <c r="J62" s="31"/>
    </row>
    <row r="63" spans="2:17">
      <c r="B63" s="4" t="s">
        <v>88</v>
      </c>
      <c r="C63" s="1" t="s">
        <v>87</v>
      </c>
    </row>
    <row r="65" spans="2:10">
      <c r="B65" s="9" t="s">
        <v>70</v>
      </c>
      <c r="C65" s="23" t="s">
        <v>71</v>
      </c>
    </row>
    <row r="66" spans="2:10">
      <c r="B66" s="1" t="s">
        <v>7</v>
      </c>
      <c r="C66" s="1" t="s">
        <v>72</v>
      </c>
    </row>
    <row r="67" spans="2:10">
      <c r="B67" s="1" t="s">
        <v>6</v>
      </c>
      <c r="C67" s="1" t="s">
        <v>102</v>
      </c>
      <c r="H67" s="10" t="s">
        <v>73</v>
      </c>
      <c r="I67" s="10"/>
      <c r="J67" s="31"/>
    </row>
    <row r="68" spans="2:10">
      <c r="B68" s="1"/>
      <c r="C68" s="1"/>
      <c r="H68" s="10"/>
      <c r="I68" s="10"/>
      <c r="J68" s="31"/>
    </row>
    <row r="69" spans="2:10">
      <c r="B69" t="s">
        <v>88</v>
      </c>
      <c r="C69" s="1" t="s">
        <v>101</v>
      </c>
    </row>
    <row r="71" spans="2:10">
      <c r="B71" s="4"/>
      <c r="C71" s="2" t="s">
        <v>6</v>
      </c>
      <c r="D71" s="2" t="s">
        <v>7</v>
      </c>
      <c r="E71" s="2" t="s">
        <v>8</v>
      </c>
      <c r="F71" s="2" t="s">
        <v>9</v>
      </c>
      <c r="G71" s="42" t="s">
        <v>74</v>
      </c>
      <c r="H71" s="42" t="s">
        <v>75</v>
      </c>
      <c r="I71" s="43" t="s">
        <v>76</v>
      </c>
      <c r="J71" s="32"/>
    </row>
    <row r="72" spans="2:10">
      <c r="B72" s="4" t="s">
        <v>10</v>
      </c>
      <c r="C72" s="5">
        <f>C4</f>
        <v>3</v>
      </c>
      <c r="D72" s="5">
        <f t="shared" ref="D72:F72" si="22">D4</f>
        <v>2</v>
      </c>
      <c r="E72" s="5">
        <f t="shared" si="22"/>
        <v>1</v>
      </c>
      <c r="F72" s="40">
        <f t="shared" si="22"/>
        <v>1</v>
      </c>
      <c r="G72" s="41">
        <f t="shared" ref="G72:G77" si="23">MIN(C72:F72)</f>
        <v>1</v>
      </c>
      <c r="H72" s="41">
        <f t="shared" ref="H72:H77" si="24">SUM(C72:F72)</f>
        <v>7</v>
      </c>
      <c r="I72" s="41">
        <f t="shared" ref="I72:I77" si="25">0.6*MIN(C72:F72)+0.4*MAX(C72:F72)</f>
        <v>1.8000000000000003</v>
      </c>
    </row>
    <row r="73" spans="2:10">
      <c r="B73" s="4" t="s">
        <v>11</v>
      </c>
      <c r="C73" s="5">
        <f t="shared" ref="C73:F73" si="26">C5</f>
        <v>4</v>
      </c>
      <c r="D73" s="5">
        <f t="shared" si="26"/>
        <v>1</v>
      </c>
      <c r="E73" s="5">
        <f t="shared" si="26"/>
        <v>-3</v>
      </c>
      <c r="F73" s="40">
        <f t="shared" si="26"/>
        <v>2</v>
      </c>
      <c r="G73" s="41">
        <f t="shared" si="23"/>
        <v>-3</v>
      </c>
      <c r="H73" s="41">
        <f t="shared" si="24"/>
        <v>4</v>
      </c>
      <c r="I73" s="41">
        <f t="shared" si="25"/>
        <v>-0.19999999999999973</v>
      </c>
    </row>
    <row r="74" spans="2:10">
      <c r="B74" s="4" t="s">
        <v>12</v>
      </c>
      <c r="C74" s="5">
        <f t="shared" ref="C74:F74" si="27">C6</f>
        <v>5</v>
      </c>
      <c r="D74" s="5">
        <f t="shared" si="27"/>
        <v>0</v>
      </c>
      <c r="E74" s="5">
        <f t="shared" si="27"/>
        <v>-5</v>
      </c>
      <c r="F74" s="40">
        <f t="shared" si="27"/>
        <v>1</v>
      </c>
      <c r="G74" s="41">
        <f t="shared" si="23"/>
        <v>-5</v>
      </c>
      <c r="H74" s="41">
        <f t="shared" si="24"/>
        <v>1</v>
      </c>
      <c r="I74" s="41">
        <f t="shared" si="25"/>
        <v>-1</v>
      </c>
    </row>
    <row r="75" spans="2:10">
      <c r="B75" s="4" t="s">
        <v>13</v>
      </c>
      <c r="C75" s="5">
        <f t="shared" ref="C75:F75" si="28">C7</f>
        <v>4</v>
      </c>
      <c r="D75" s="5">
        <f t="shared" si="28"/>
        <v>3</v>
      </c>
      <c r="E75" s="5">
        <f t="shared" si="28"/>
        <v>4</v>
      </c>
      <c r="F75" s="40">
        <f t="shared" si="28"/>
        <v>3</v>
      </c>
      <c r="G75" s="41">
        <f t="shared" si="23"/>
        <v>3</v>
      </c>
      <c r="H75" s="41">
        <f t="shared" si="24"/>
        <v>14</v>
      </c>
      <c r="I75" s="41">
        <f t="shared" si="25"/>
        <v>3.4</v>
      </c>
    </row>
    <row r="76" spans="2:10">
      <c r="B76" s="4" t="s">
        <v>14</v>
      </c>
      <c r="C76" s="5">
        <f t="shared" ref="C76:F76" si="29">C8</f>
        <v>3</v>
      </c>
      <c r="D76" s="5">
        <f t="shared" si="29"/>
        <v>3</v>
      </c>
      <c r="E76" s="5">
        <f t="shared" si="29"/>
        <v>1</v>
      </c>
      <c r="F76" s="40">
        <f t="shared" si="29"/>
        <v>1</v>
      </c>
      <c r="G76" s="41">
        <f t="shared" si="23"/>
        <v>1</v>
      </c>
      <c r="H76" s="41">
        <f t="shared" si="24"/>
        <v>8</v>
      </c>
      <c r="I76" s="41">
        <f t="shared" si="25"/>
        <v>1.8000000000000003</v>
      </c>
    </row>
    <row r="77" spans="2:10">
      <c r="B77" s="4" t="s">
        <v>15</v>
      </c>
      <c r="C77" s="5">
        <f t="shared" ref="C77:F77" si="30">C9</f>
        <v>4</v>
      </c>
      <c r="D77" s="5">
        <f t="shared" si="30"/>
        <v>2</v>
      </c>
      <c r="E77" s="5">
        <f t="shared" si="30"/>
        <v>4</v>
      </c>
      <c r="F77" s="40">
        <f t="shared" si="30"/>
        <v>5</v>
      </c>
      <c r="G77" s="41">
        <f t="shared" si="23"/>
        <v>2</v>
      </c>
      <c r="H77" s="41">
        <f t="shared" si="24"/>
        <v>15</v>
      </c>
      <c r="I77" s="41">
        <f t="shared" si="25"/>
        <v>3.2</v>
      </c>
    </row>
    <row r="78" spans="2:10" ht="15">
      <c r="F78" s="23" t="s">
        <v>77</v>
      </c>
      <c r="G78" s="44">
        <f>MAX(G72:G77)</f>
        <v>3</v>
      </c>
      <c r="H78" s="44">
        <f>MAX(H72:H77)</f>
        <v>15</v>
      </c>
      <c r="I78" s="44">
        <f>MAX(I72:I77)</f>
        <v>3.4</v>
      </c>
      <c r="J78" s="33"/>
    </row>
    <row r="79" spans="2:10">
      <c r="G79" s="11" t="s">
        <v>13</v>
      </c>
      <c r="H79" s="11" t="s">
        <v>15</v>
      </c>
      <c r="I79" s="11" t="s">
        <v>13</v>
      </c>
      <c r="J79" s="34"/>
    </row>
    <row r="80" spans="2:10">
      <c r="G80" s="9" t="s">
        <v>78</v>
      </c>
      <c r="H80" s="9" t="s">
        <v>79</v>
      </c>
      <c r="I80" s="9" t="s">
        <v>80</v>
      </c>
      <c r="J80" s="35"/>
    </row>
  </sheetData>
  <mergeCells count="8">
    <mergeCell ref="R15:U15"/>
    <mergeCell ref="R16:U16"/>
    <mergeCell ref="R17:U17"/>
    <mergeCell ref="H34:H38"/>
    <mergeCell ref="L43:Q46"/>
    <mergeCell ref="N53:Q54"/>
    <mergeCell ref="N58:Q59"/>
    <mergeCell ref="M16:Q17"/>
  </mergeCells>
  <phoneticPr fontId="21" type="noConversion"/>
  <pageMargins left="0.7" right="0.7" top="1.1437007874015748" bottom="1.1437007874015748" header="0.75" footer="0.75"/>
  <pageSetup paperSize="9" fitToWidth="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G20"/>
  <sheetViews>
    <sheetView tabSelected="1" topLeftCell="A13" zoomScale="184" zoomScaleNormal="184" workbookViewId="0">
      <selection activeCell="A14" sqref="A14:G14"/>
    </sheetView>
  </sheetViews>
  <sheetFormatPr defaultRowHeight="14.25"/>
  <cols>
    <col min="1" max="1" width="6.75" customWidth="1"/>
    <col min="2" max="1024" width="8" customWidth="1"/>
  </cols>
  <sheetData>
    <row r="3" spans="1:7">
      <c r="A3" s="12"/>
      <c r="B3" s="13" t="s">
        <v>6</v>
      </c>
      <c r="C3" s="13" t="s">
        <v>7</v>
      </c>
      <c r="D3" s="13" t="s">
        <v>8</v>
      </c>
      <c r="E3" s="13" t="s">
        <v>9</v>
      </c>
      <c r="F3" s="13" t="s">
        <v>81</v>
      </c>
      <c r="G3" s="13" t="s">
        <v>82</v>
      </c>
    </row>
    <row r="4" spans="1:7">
      <c r="A4" s="14" t="s">
        <v>10</v>
      </c>
      <c r="B4" s="12">
        <v>4</v>
      </c>
      <c r="C4" s="12">
        <v>2</v>
      </c>
      <c r="D4" s="12">
        <v>2</v>
      </c>
      <c r="E4" s="12">
        <v>-4</v>
      </c>
      <c r="F4" s="12">
        <v>-2</v>
      </c>
      <c r="G4" s="12">
        <v>1</v>
      </c>
    </row>
    <row r="5" spans="1:7">
      <c r="A5" s="14" t="s">
        <v>11</v>
      </c>
      <c r="B5" s="12">
        <v>2</v>
      </c>
      <c r="C5" s="12">
        <v>-1</v>
      </c>
      <c r="D5" s="12">
        <v>0</v>
      </c>
      <c r="E5" s="12">
        <v>-2</v>
      </c>
      <c r="F5" s="12">
        <v>0</v>
      </c>
      <c r="G5" s="12">
        <v>2</v>
      </c>
    </row>
    <row r="6" spans="1:7">
      <c r="A6" s="14" t="s">
        <v>12</v>
      </c>
      <c r="B6" s="12">
        <v>1</v>
      </c>
      <c r="C6" s="12">
        <v>-1</v>
      </c>
      <c r="D6" s="12">
        <v>-3</v>
      </c>
      <c r="E6" s="12">
        <v>1</v>
      </c>
      <c r="F6" s="12">
        <v>-2</v>
      </c>
      <c r="G6" s="12">
        <v>-1</v>
      </c>
    </row>
    <row r="7" spans="1:7">
      <c r="A7" s="14" t="s">
        <v>13</v>
      </c>
      <c r="B7" s="12">
        <v>2</v>
      </c>
      <c r="C7" s="12">
        <v>2</v>
      </c>
      <c r="D7" s="12">
        <v>3</v>
      </c>
      <c r="E7" s="12">
        <v>-3</v>
      </c>
      <c r="F7" s="12">
        <v>2</v>
      </c>
      <c r="G7" s="12">
        <v>2</v>
      </c>
    </row>
    <row r="8" spans="1:7">
      <c r="A8" s="14" t="s">
        <v>14</v>
      </c>
      <c r="B8" s="12">
        <v>-4</v>
      </c>
      <c r="C8" s="12">
        <v>4</v>
      </c>
      <c r="D8" s="12">
        <v>2</v>
      </c>
      <c r="E8" s="12">
        <v>3</v>
      </c>
      <c r="F8" s="12">
        <v>3</v>
      </c>
      <c r="G8" s="12">
        <v>3</v>
      </c>
    </row>
    <row r="9" spans="1:7">
      <c r="A9" s="14" t="s">
        <v>15</v>
      </c>
      <c r="B9" s="12">
        <v>2</v>
      </c>
      <c r="C9" s="12">
        <v>-1</v>
      </c>
      <c r="D9" s="12">
        <v>2</v>
      </c>
      <c r="E9" s="12">
        <v>2</v>
      </c>
      <c r="F9" s="12">
        <v>-1</v>
      </c>
      <c r="G9" s="12">
        <v>-3</v>
      </c>
    </row>
    <row r="10" spans="1:7">
      <c r="A10" s="14" t="s">
        <v>83</v>
      </c>
      <c r="B10" s="12">
        <v>1</v>
      </c>
      <c r="C10" s="12">
        <v>4</v>
      </c>
      <c r="D10" s="12">
        <v>0</v>
      </c>
      <c r="E10" s="12">
        <v>2</v>
      </c>
      <c r="F10" s="12">
        <v>4</v>
      </c>
      <c r="G10" s="12">
        <v>-2</v>
      </c>
    </row>
    <row r="11" spans="1:7">
      <c r="A11" s="14" t="s">
        <v>84</v>
      </c>
      <c r="B11" s="12">
        <v>4</v>
      </c>
      <c r="C11" s="12">
        <v>3</v>
      </c>
      <c r="D11" s="12">
        <v>-1</v>
      </c>
      <c r="E11" s="12">
        <v>2</v>
      </c>
      <c r="F11" s="12">
        <v>1</v>
      </c>
      <c r="G11" s="12">
        <v>2</v>
      </c>
    </row>
    <row r="13" spans="1:7">
      <c r="A13" s="1" t="s">
        <v>103</v>
      </c>
    </row>
    <row r="14" spans="1:7" ht="35.25" customHeight="1">
      <c r="A14" s="45" t="s">
        <v>1</v>
      </c>
      <c r="B14" s="45"/>
      <c r="C14" s="45"/>
      <c r="D14" s="45"/>
      <c r="E14" s="45"/>
      <c r="F14" s="45"/>
      <c r="G14" s="45"/>
    </row>
    <row r="15" spans="1:7" ht="41.25" customHeight="1">
      <c r="A15" s="45" t="s">
        <v>97</v>
      </c>
      <c r="B15" s="45"/>
      <c r="C15" s="45"/>
      <c r="D15" s="45"/>
      <c r="E15" s="45"/>
      <c r="F15" s="45"/>
      <c r="G15" s="45"/>
    </row>
    <row r="16" spans="1:7" ht="61.5" customHeight="1">
      <c r="A16" s="45" t="s">
        <v>96</v>
      </c>
      <c r="B16" s="45"/>
      <c r="C16" s="45"/>
      <c r="D16" s="45"/>
      <c r="E16" s="45"/>
      <c r="F16" s="45"/>
      <c r="G16" s="45"/>
    </row>
    <row r="17" spans="1:7" ht="47.25" customHeight="1">
      <c r="A17" s="45" t="s">
        <v>3</v>
      </c>
      <c r="B17" s="45"/>
      <c r="C17" s="45"/>
      <c r="D17" s="45"/>
      <c r="E17" s="45"/>
      <c r="F17" s="45"/>
      <c r="G17" s="45"/>
    </row>
    <row r="18" spans="1:7" ht="51" customHeight="1">
      <c r="A18" s="45" t="s">
        <v>85</v>
      </c>
      <c r="B18" s="45"/>
      <c r="C18" s="45"/>
      <c r="D18" s="45"/>
      <c r="E18" s="45"/>
      <c r="F18" s="45"/>
      <c r="G18" s="45"/>
    </row>
    <row r="19" spans="1:7" ht="67.5" customHeight="1">
      <c r="A19" s="45" t="s">
        <v>86</v>
      </c>
      <c r="B19" s="45"/>
      <c r="C19" s="45"/>
      <c r="D19" s="45"/>
      <c r="E19" s="45"/>
      <c r="F19" s="45"/>
      <c r="G19" s="45"/>
    </row>
    <row r="20" spans="1:7" ht="59.25" customHeight="1">
      <c r="A20" s="45" t="s">
        <v>89</v>
      </c>
      <c r="B20" s="45"/>
      <c r="C20" s="45"/>
      <c r="D20" s="45"/>
      <c r="E20" s="45"/>
      <c r="F20" s="45"/>
      <c r="G20" s="45"/>
    </row>
  </sheetData>
  <mergeCells count="7">
    <mergeCell ref="A20:G20"/>
    <mergeCell ref="A14:G14"/>
    <mergeCell ref="A15:G15"/>
    <mergeCell ref="A16:G16"/>
    <mergeCell ref="A17:G17"/>
    <mergeCell ref="A18:G18"/>
    <mergeCell ref="A19:G19"/>
  </mergeCells>
  <pageMargins left="0.7" right="0.7" top="1.1437007874015748" bottom="1.1437007874015748" header="0.75" footer="0.75"/>
  <pageSetup paperSize="9" fitToWidth="0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12"/>
  <sheetViews>
    <sheetView zoomScale="106" zoomScaleNormal="106" workbookViewId="0">
      <selection activeCell="E9" sqref="E9"/>
    </sheetView>
  </sheetViews>
  <sheetFormatPr defaultRowHeight="14.25"/>
  <cols>
    <col min="1" max="1024" width="8" customWidth="1"/>
  </cols>
  <sheetData>
    <row r="2" spans="1:7">
      <c r="A2" s="15"/>
      <c r="B2" s="16" t="s">
        <v>6</v>
      </c>
      <c r="C2" s="16" t="s">
        <v>7</v>
      </c>
      <c r="D2" s="16" t="s">
        <v>8</v>
      </c>
      <c r="E2" s="16" t="s">
        <v>9</v>
      </c>
      <c r="F2" s="16" t="s">
        <v>81</v>
      </c>
      <c r="G2" s="16" t="s">
        <v>82</v>
      </c>
    </row>
    <row r="3" spans="1:7">
      <c r="A3" s="16" t="s">
        <v>10</v>
      </c>
      <c r="B3" s="15">
        <v>3</v>
      </c>
      <c r="C3" s="15">
        <v>0</v>
      </c>
      <c r="D3" s="15">
        <v>2</v>
      </c>
      <c r="E3" s="15">
        <v>-1</v>
      </c>
      <c r="F3" s="15">
        <v>4</v>
      </c>
      <c r="G3" s="15">
        <v>4</v>
      </c>
    </row>
    <row r="4" spans="1:7">
      <c r="A4" s="16" t="s">
        <v>11</v>
      </c>
      <c r="B4" s="15">
        <v>0</v>
      </c>
      <c r="C4" s="15">
        <v>4</v>
      </c>
      <c r="D4" s="15">
        <v>-2</v>
      </c>
      <c r="E4" s="15">
        <v>3</v>
      </c>
      <c r="F4" s="15">
        <v>-1</v>
      </c>
      <c r="G4" s="15">
        <v>3</v>
      </c>
    </row>
    <row r="5" spans="1:7">
      <c r="A5" s="16" t="s">
        <v>12</v>
      </c>
      <c r="B5" s="15">
        <v>4</v>
      </c>
      <c r="C5" s="15">
        <v>3</v>
      </c>
      <c r="D5" s="15">
        <v>0</v>
      </c>
      <c r="E5" s="15">
        <v>4</v>
      </c>
      <c r="F5" s="15">
        <v>2</v>
      </c>
      <c r="G5" s="15">
        <v>3</v>
      </c>
    </row>
    <row r="6" spans="1:7">
      <c r="A6" s="16" t="s">
        <v>13</v>
      </c>
      <c r="B6" s="15">
        <v>-2</v>
      </c>
      <c r="C6" s="15">
        <v>1</v>
      </c>
      <c r="D6" s="15">
        <v>-1</v>
      </c>
      <c r="E6" s="15">
        <v>2</v>
      </c>
      <c r="F6" s="15">
        <v>0</v>
      </c>
      <c r="G6" s="15">
        <v>1</v>
      </c>
    </row>
    <row r="7" spans="1:7">
      <c r="A7" s="16" t="s">
        <v>14</v>
      </c>
      <c r="B7" s="15">
        <v>1</v>
      </c>
      <c r="C7" s="15">
        <v>-1</v>
      </c>
      <c r="D7" s="15">
        <v>-3</v>
      </c>
      <c r="E7" s="15">
        <v>-4</v>
      </c>
      <c r="F7" s="15">
        <v>0</v>
      </c>
      <c r="G7" s="15">
        <v>0</v>
      </c>
    </row>
    <row r="9" spans="1:7">
      <c r="A9" s="1" t="s">
        <v>94</v>
      </c>
    </row>
    <row r="10" spans="1:7" ht="42" customHeight="1">
      <c r="A10" s="45" t="s">
        <v>17</v>
      </c>
      <c r="B10" s="45"/>
      <c r="C10" s="45"/>
      <c r="D10" s="45"/>
      <c r="E10" s="45"/>
      <c r="F10" s="45"/>
      <c r="G10" s="45"/>
    </row>
    <row r="11" spans="1:7" ht="45.75" customHeight="1">
      <c r="A11" s="45" t="s">
        <v>98</v>
      </c>
      <c r="B11" s="45"/>
      <c r="C11" s="45"/>
      <c r="D11" s="45"/>
      <c r="E11" s="45"/>
      <c r="F11" s="45"/>
      <c r="G11" s="45"/>
    </row>
    <row r="12" spans="1:7" ht="50.25" customHeight="1">
      <c r="A12" s="45" t="s">
        <v>95</v>
      </c>
      <c r="B12" s="45"/>
      <c r="C12" s="45"/>
      <c r="D12" s="45"/>
      <c r="E12" s="45"/>
      <c r="F12" s="45"/>
      <c r="G12" s="45"/>
    </row>
  </sheetData>
  <mergeCells count="3">
    <mergeCell ref="A10:G10"/>
    <mergeCell ref="A11:G11"/>
    <mergeCell ref="A12:G12"/>
  </mergeCells>
  <pageMargins left="0.7" right="0.7" top="1.1437007874015748" bottom="1.1437007874015748" header="0.75" footer="0.75"/>
  <pageSetup paperSize="9" fitToWidth="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preferencje-przykład</vt:lpstr>
      <vt:lpstr>Zadanie1</vt:lpstr>
      <vt:lpstr>Zadanie2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user-PO</dc:creator>
  <cp:lastModifiedBy>Bozena Staruch</cp:lastModifiedBy>
  <cp:revision>1</cp:revision>
  <cp:lastPrinted>2007-04-01T20:16:52Z</cp:lastPrinted>
  <dcterms:created xsi:type="dcterms:W3CDTF">2005-12-06T17:37:05Z</dcterms:created>
  <dcterms:modified xsi:type="dcterms:W3CDTF">2026-05-12T14:05:21Z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PO</vt:lpwstr>
  </property>
  <property fmtid="{D5CDD505-2E9C-101B-9397-08002B2CF9AE}" pid="4" name="DocSecurity">
    <vt:r8>0</vt:r8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