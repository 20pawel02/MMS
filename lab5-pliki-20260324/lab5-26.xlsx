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zena\Desktop\MMS25\lab4\"/>
    </mc:Choice>
  </mc:AlternateContent>
  <xr:revisionPtr revIDLastSave="0" documentId="13_ncr:1_{1184A34C-CDCA-4283-91AF-31229DEC1E46}" xr6:coauthVersionLast="47" xr6:coauthVersionMax="47" xr10:uidLastSave="{00000000-0000-0000-0000-000000000000}"/>
  <bookViews>
    <workbookView xWindow="-120" yWindow="-120" windowWidth="24240" windowHeight="13140" tabRatio="639" activeTab="1" xr2:uid="{00000000-000D-0000-FFFF-FFFF00000000}"/>
  </bookViews>
  <sheets>
    <sheet name="chi-kwadrat" sheetId="11" r:id="rId1"/>
    <sheet name="kołmogorowa" sheetId="12" r:id="rId2"/>
    <sheet name="tablica" sheetId="14" r:id="rId3"/>
    <sheet name="chi kwadrat-Poissona" sheetId="15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32" i="11" l="1"/>
  <c r="O25" i="11"/>
  <c r="P25" i="11"/>
  <c r="O26" i="11"/>
  <c r="P26" i="11"/>
  <c r="O27" i="11"/>
  <c r="P27" i="11"/>
  <c r="O28" i="11"/>
  <c r="P28" i="11"/>
  <c r="O29" i="11"/>
  <c r="P29" i="11"/>
  <c r="P24" i="11"/>
  <c r="N24" i="11"/>
  <c r="O46" i="11"/>
  <c r="N25" i="11"/>
  <c r="N26" i="11"/>
  <c r="N27" i="11"/>
  <c r="N28" i="11"/>
  <c r="N29" i="11"/>
  <c r="L55" i="11"/>
  <c r="T54" i="11" s="1"/>
  <c r="O47" i="11"/>
  <c r="P47" i="11"/>
  <c r="O48" i="11"/>
  <c r="P48" i="11"/>
  <c r="O49" i="11"/>
  <c r="P49" i="11"/>
  <c r="Q49" i="11" s="1"/>
  <c r="R49" i="11" s="1"/>
  <c r="O50" i="11"/>
  <c r="P50" i="11"/>
  <c r="O51" i="11"/>
  <c r="P51" i="11"/>
  <c r="Q51" i="11" s="1"/>
  <c r="R51" i="11" s="1"/>
  <c r="S51" i="11" s="1"/>
  <c r="T51" i="11" s="1"/>
  <c r="P46" i="11"/>
  <c r="Q47" i="11"/>
  <c r="R47" i="11" s="1"/>
  <c r="S47" i="11" s="1"/>
  <c r="T47" i="11" s="1"/>
  <c r="L36" i="11"/>
  <c r="L35" i="11"/>
  <c r="M29" i="11"/>
  <c r="L29" i="11"/>
  <c r="L26" i="11"/>
  <c r="M26" i="11"/>
  <c r="L27" i="11"/>
  <c r="M27" i="11"/>
  <c r="L28" i="11"/>
  <c r="M28" i="11"/>
  <c r="M25" i="11"/>
  <c r="L25" i="11"/>
  <c r="M24" i="11"/>
  <c r="L24" i="11"/>
  <c r="F19" i="11"/>
  <c r="H19" i="11" s="1"/>
  <c r="F18" i="11"/>
  <c r="F17" i="11"/>
  <c r="H17" i="11" s="1"/>
  <c r="Q48" i="11" l="1"/>
  <c r="R48" i="11" s="1"/>
  <c r="S48" i="11" s="1"/>
  <c r="T48" i="11" s="1"/>
  <c r="Q50" i="11"/>
  <c r="R50" i="11" s="1"/>
  <c r="S50" i="11" s="1"/>
  <c r="T50" i="11" s="1"/>
  <c r="S49" i="11"/>
  <c r="T49" i="11" s="1"/>
  <c r="N30" i="11"/>
  <c r="Q46" i="11"/>
  <c r="R46" i="11" s="1"/>
  <c r="S46" i="11" s="1"/>
  <c r="T46" i="11" s="1"/>
  <c r="T53" i="11" l="1"/>
  <c r="O15" i="12"/>
  <c r="K15" i="12"/>
  <c r="K14" i="12"/>
  <c r="F21" i="12"/>
  <c r="G21" i="12" s="1"/>
  <c r="F16" i="12"/>
  <c r="H16" i="12" s="1"/>
  <c r="F15" i="12"/>
  <c r="F14" i="12"/>
  <c r="H14" i="12" s="1"/>
  <c r="I28" i="15"/>
  <c r="Q27" i="15" s="1"/>
  <c r="M14" i="15"/>
  <c r="M15" i="15"/>
  <c r="M16" i="15"/>
  <c r="M17" i="15"/>
  <c r="M18" i="15"/>
  <c r="M19" i="15"/>
  <c r="M20" i="15"/>
  <c r="M21" i="15"/>
  <c r="M22" i="15"/>
  <c r="M23" i="15"/>
  <c r="L15" i="15"/>
  <c r="L16" i="15"/>
  <c r="L17" i="15"/>
  <c r="L18" i="15"/>
  <c r="L19" i="15"/>
  <c r="L20" i="15"/>
  <c r="L21" i="15"/>
  <c r="L22" i="15"/>
  <c r="L23" i="15"/>
  <c r="L14" i="15"/>
  <c r="I26" i="15"/>
  <c r="D9" i="15"/>
  <c r="F9" i="15" s="1"/>
  <c r="D8" i="15"/>
  <c r="D10" i="15" s="1"/>
  <c r="F8" i="15" s="1"/>
  <c r="D7" i="15"/>
  <c r="F7" i="15" s="1"/>
  <c r="D14" i="15"/>
  <c r="E14" i="15" s="1"/>
  <c r="O24" i="11"/>
  <c r="L33" i="11"/>
  <c r="F24" i="11"/>
  <c r="G24" i="11" s="1"/>
  <c r="H24" i="11" s="1"/>
  <c r="F22" i="12" l="1"/>
  <c r="G22" i="12" s="1"/>
  <c r="H21" i="12"/>
  <c r="F17" i="12"/>
  <c r="H15" i="12" s="1"/>
  <c r="K21" i="12"/>
  <c r="L21" i="12" s="1"/>
  <c r="K22" i="12"/>
  <c r="L22" i="12" s="1"/>
  <c r="N22" i="15"/>
  <c r="O22" i="15" s="1"/>
  <c r="P22" i="15" s="1"/>
  <c r="Q22" i="15" s="1"/>
  <c r="N20" i="15"/>
  <c r="O20" i="15" s="1"/>
  <c r="P20" i="15" s="1"/>
  <c r="Q20" i="15" s="1"/>
  <c r="N18" i="15"/>
  <c r="O18" i="15" s="1"/>
  <c r="P18" i="15" s="1"/>
  <c r="Q18" i="15" s="1"/>
  <c r="N16" i="15"/>
  <c r="O16" i="15" s="1"/>
  <c r="P16" i="15" s="1"/>
  <c r="Q16" i="15" s="1"/>
  <c r="N14" i="15"/>
  <c r="O14" i="15" s="1"/>
  <c r="P14" i="15" s="1"/>
  <c r="Q14" i="15" s="1"/>
  <c r="N23" i="15"/>
  <c r="O23" i="15" s="1"/>
  <c r="P23" i="15" s="1"/>
  <c r="Q23" i="15" s="1"/>
  <c r="N21" i="15"/>
  <c r="O21" i="15" s="1"/>
  <c r="P21" i="15" s="1"/>
  <c r="Q21" i="15" s="1"/>
  <c r="N19" i="15"/>
  <c r="O19" i="15" s="1"/>
  <c r="P19" i="15" s="1"/>
  <c r="Q19" i="15" s="1"/>
  <c r="N17" i="15"/>
  <c r="O17" i="15" s="1"/>
  <c r="P17" i="15" s="1"/>
  <c r="Q17" i="15" s="1"/>
  <c r="N15" i="15"/>
  <c r="O15" i="15" s="1"/>
  <c r="P15" i="15" s="1"/>
  <c r="Q15" i="15" s="1"/>
  <c r="D15" i="15"/>
  <c r="E15" i="15" s="1"/>
  <c r="D16" i="15" s="1"/>
  <c r="E16" i="15" s="1"/>
  <c r="Q24" i="11"/>
  <c r="R24" i="11" s="1"/>
  <c r="S24" i="11" s="1"/>
  <c r="T24" i="11" s="1"/>
  <c r="Q28" i="11"/>
  <c r="R28" i="11" s="1"/>
  <c r="S28" i="11" s="1"/>
  <c r="T28" i="11" s="1"/>
  <c r="Q26" i="11"/>
  <c r="R26" i="11" s="1"/>
  <c r="S26" i="11" s="1"/>
  <c r="T26" i="11" s="1"/>
  <c r="Q29" i="11"/>
  <c r="R29" i="11" s="1"/>
  <c r="S29" i="11" s="1"/>
  <c r="T29" i="11" s="1"/>
  <c r="Q27" i="11"/>
  <c r="R27" i="11" s="1"/>
  <c r="S27" i="11" s="1"/>
  <c r="T27" i="11" s="1"/>
  <c r="Q25" i="11"/>
  <c r="R25" i="11" s="1"/>
  <c r="S25" i="11" s="1"/>
  <c r="T25" i="11" s="1"/>
  <c r="F20" i="11"/>
  <c r="H18" i="11" s="1"/>
  <c r="F25" i="11"/>
  <c r="G25" i="11" s="1"/>
  <c r="H25" i="11" s="1"/>
  <c r="F23" i="12" l="1"/>
  <c r="H22" i="12"/>
  <c r="F26" i="11"/>
  <c r="G26" i="11" s="1"/>
  <c r="H26" i="11" s="1"/>
  <c r="Q26" i="15"/>
  <c r="P29" i="15" s="1"/>
  <c r="D17" i="15"/>
  <c r="E17" i="15" s="1"/>
  <c r="T31" i="11"/>
  <c r="G23" i="12" l="1"/>
  <c r="K23" i="12" s="1"/>
  <c r="L23" i="12" s="1"/>
  <c r="F27" i="11"/>
  <c r="G27" i="11" s="1"/>
  <c r="H27" i="11" s="1"/>
  <c r="D18" i="15"/>
  <c r="E18" i="15" s="1"/>
  <c r="F24" i="12" l="1"/>
  <c r="H23" i="12"/>
  <c r="F28" i="11"/>
  <c r="G28" i="11" s="1"/>
  <c r="H28" i="11" s="1"/>
  <c r="D19" i="15"/>
  <c r="E19" i="15" s="1"/>
  <c r="G24" i="12" l="1"/>
  <c r="K24" i="12" s="1"/>
  <c r="L24" i="12" s="1"/>
  <c r="F29" i="11"/>
  <c r="G29" i="11" s="1"/>
  <c r="H29" i="11" s="1"/>
  <c r="D20" i="15"/>
  <c r="E20" i="15" s="1"/>
  <c r="F25" i="12" l="1"/>
  <c r="H24" i="12"/>
  <c r="F30" i="11"/>
  <c r="G30" i="11" s="1"/>
  <c r="H30" i="11" s="1"/>
  <c r="D21" i="15"/>
  <c r="E21" i="15" s="1"/>
  <c r="G25" i="12" l="1"/>
  <c r="F31" i="11"/>
  <c r="G31" i="11" s="1"/>
  <c r="H31" i="11" s="1"/>
  <c r="F32" i="11"/>
  <c r="G32" i="11" s="1"/>
  <c r="D22" i="15"/>
  <c r="E22" i="15" s="1"/>
  <c r="F26" i="12" l="1"/>
  <c r="H25" i="12"/>
  <c r="K25" i="12"/>
  <c r="L25" i="12" s="1"/>
  <c r="H32" i="11"/>
  <c r="D23" i="15"/>
  <c r="E23" i="15" s="1"/>
  <c r="G26" i="12" l="1"/>
  <c r="K26" i="12" s="1"/>
  <c r="L26" i="12" s="1"/>
  <c r="D24" i="15"/>
  <c r="E24" i="15" s="1"/>
  <c r="D25" i="15" s="1"/>
  <c r="E25" i="15" s="1"/>
  <c r="D26" i="15" s="1"/>
  <c r="E26" i="15" s="1"/>
  <c r="D27" i="15" s="1"/>
  <c r="E27" i="15" s="1"/>
  <c r="F14" i="15" s="1" a="1"/>
  <c r="F27" i="12" l="1"/>
  <c r="H26" i="12"/>
  <c r="F14" i="15"/>
  <c r="F27" i="15"/>
  <c r="F23" i="15"/>
  <c r="F19" i="15"/>
  <c r="F15" i="15"/>
  <c r="F24" i="15"/>
  <c r="F20" i="15"/>
  <c r="F16" i="15"/>
  <c r="F25" i="15"/>
  <c r="F21" i="15"/>
  <c r="F17" i="15"/>
  <c r="F26" i="15"/>
  <c r="F22" i="15"/>
  <c r="F18" i="15"/>
  <c r="G27" i="12" l="1"/>
  <c r="K27" i="12" s="1"/>
  <c r="L27" i="12" s="1"/>
  <c r="F28" i="12" l="1"/>
  <c r="H27" i="12"/>
  <c r="I21" i="12"/>
  <c r="I22" i="12" s="1"/>
  <c r="G28" i="12" l="1"/>
  <c r="K28" i="12" s="1"/>
  <c r="L28" i="12" s="1"/>
  <c r="J22" i="12"/>
  <c r="M22" i="12" s="1"/>
  <c r="I23" i="12"/>
  <c r="J21" i="12"/>
  <c r="M21" i="12" s="1"/>
  <c r="F29" i="12" l="1"/>
  <c r="H28" i="12"/>
  <c r="J23" i="12"/>
  <c r="M23" i="12" s="1"/>
  <c r="I24" i="12"/>
  <c r="G29" i="12" l="1"/>
  <c r="K29" i="12" s="1"/>
  <c r="L29" i="12" s="1"/>
  <c r="J24" i="12"/>
  <c r="M24" i="12" s="1"/>
  <c r="I25" i="12"/>
  <c r="F30" i="12" l="1"/>
  <c r="H29" i="12"/>
  <c r="I26" i="12"/>
  <c r="J25" i="12"/>
  <c r="M25" i="12" s="1"/>
  <c r="G30" i="12" l="1"/>
  <c r="K30" i="12" s="1"/>
  <c r="L30" i="12" s="1"/>
  <c r="I27" i="12"/>
  <c r="J26" i="12"/>
  <c r="M26" i="12" s="1"/>
  <c r="F31" i="12" l="1"/>
  <c r="H30" i="12"/>
  <c r="I28" i="12"/>
  <c r="J27" i="12"/>
  <c r="M27" i="12" s="1"/>
  <c r="G31" i="12" l="1"/>
  <c r="K31" i="12" s="1"/>
  <c r="L31" i="12" s="1"/>
  <c r="J28" i="12"/>
  <c r="M28" i="12" s="1"/>
  <c r="I29" i="12"/>
  <c r="F32" i="12" l="1"/>
  <c r="H31" i="12"/>
  <c r="J29" i="12"/>
  <c r="M29" i="12" s="1"/>
  <c r="I30" i="12"/>
  <c r="G32" i="12" l="1"/>
  <c r="K32" i="12" s="1"/>
  <c r="L32" i="12" s="1"/>
  <c r="J30" i="12"/>
  <c r="M30" i="12" s="1"/>
  <c r="I31" i="12"/>
  <c r="F33" i="12" l="1"/>
  <c r="G33" i="12" s="1"/>
  <c r="H32" i="12"/>
  <c r="I32" i="12" s="1"/>
  <c r="J31" i="12"/>
  <c r="M31" i="12" s="1"/>
  <c r="K33" i="12" l="1"/>
  <c r="L33" i="12" s="1"/>
  <c r="H33" i="12"/>
  <c r="I33" i="12" s="1"/>
  <c r="F34" i="12"/>
  <c r="G34" i="12" s="1"/>
  <c r="J32" i="12"/>
  <c r="M32" i="12" s="1"/>
  <c r="K34" i="12" l="1"/>
  <c r="L34" i="12" s="1"/>
  <c r="H34" i="12"/>
  <c r="I34" i="12" s="1"/>
  <c r="F35" i="12"/>
  <c r="G35" i="12" s="1"/>
  <c r="J33" i="12"/>
  <c r="M33" i="12" s="1"/>
  <c r="K35" i="12" l="1"/>
  <c r="L35" i="12" s="1"/>
  <c r="H35" i="12"/>
  <c r="I35" i="12" s="1"/>
  <c r="F36" i="12"/>
  <c r="J34" i="12"/>
  <c r="M34" i="12" s="1"/>
  <c r="G36" i="12" l="1"/>
  <c r="H36" i="12" s="1"/>
  <c r="I36" i="12" s="1"/>
  <c r="J36" i="12" s="1"/>
  <c r="J35" i="12"/>
  <c r="M35" i="12" s="1"/>
  <c r="K36" i="12" l="1"/>
  <c r="L36" i="12" s="1"/>
  <c r="M36" i="12" s="1"/>
  <c r="M37" i="12" s="1"/>
  <c r="M38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tc={D858413B-24D6-4718-B409-A954AB1C1EBE}</author>
    <author>tc={47DAA7D4-C71F-450C-B1F5-8F5BDF147536}</author>
    <author>tc={C4606217-B81F-4792-8439-013F582FB5DF}</author>
    <author>tc={13493772-270C-49BA-86C5-85A90AD3477B}</author>
    <author>tc={F76A8DA7-90A4-4AFB-AD2B-67A870DCEA8C}</author>
    <author>tc={7EB7EEEF-F0BF-492F-A1FB-C002FF0BB0CB}</author>
    <author>tc={66FDE4F0-B0BF-4BD6-8CAE-CD715C3F665C}</author>
    <author>tc={BBB44573-3783-4BE3-9A4A-E1C9DAD43260}</author>
    <author>tc={73504C73-F92A-45A1-820A-8A82372667F5}</author>
    <author>tc={48DFE300-F368-4090-ACE8-BBE40330887D}</author>
    <author>tc={FADDFCF2-43D0-493D-9752-49B9DEA37695}</author>
    <author>tc={D8D25704-358A-46A0-A8CA-57CA027045EA}</author>
  </authors>
  <commentList>
    <comment ref="E13" authorId="0" shapeId="0" xr:uid="{D858413B-24D6-4718-B409-A954AB1C1EBE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To jets najważniejszy element testu. Sformułowanie hipotezy zerowej i alternatywnej. W konkretnym zadaniu nalezy podac konkretne wartości średniej i odchylenia np. 21,5 ; 2,4</t>
      </text>
    </comment>
    <comment ref="E17" authorId="1" shapeId="0" xr:uid="{47DAA7D4-C71F-450C-B1F5-8F5BDF147536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to są obliczenia konieczne do zbudowania szeregu rozdzielczego</t>
      </text>
    </comment>
    <comment ref="G23" authorId="2" shapeId="0" xr:uid="{C4606217-B81F-4792-8439-013F582FB5DF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to jest szereg rozdzielczy, ale ma wadę. nie spełnia założen testu chi-kwadrat. Bardzo ważne!!! Liczebnośc każdej klasy powinna być &gt;= 8</t>
      </text>
    </comment>
    <comment ref="L23" authorId="3" shapeId="0" xr:uid="{13493772-270C-49BA-86C5-85A90AD3477B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to jest szereg rozdzielczy spełniający założenia testu. Został uzyskany przez sklejanie klas. np. klasa 15,3 - 17 maiła liczebność 4 a klasa 17 - 18,7 miała liczebnośc 5. Jak dodamy 4+5 to będzie 9 &gt;= 8. Zatem możemy skleic te dwie klasy w jedna "podwójną" 15,3-18,7 z liczebnościa 9.
Odpowiedź:
    ostatnia klasa 25.5-30.6 powstała przez sklejenie trzech ostatnich klas o liczebnosciach 9,2,1</t>
      </text>
    </comment>
    <comment ref="S31" authorId="4" shapeId="0" xr:uid="{F76A8DA7-90A4-4AFB-AD2B-67A870DCEA8C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jest to wartośc konieczna do testu "wartość statystyki testowej ob liczona zgodnie ze wzorem wymaganym w teście Chi-kwadrat</t>
      </text>
    </comment>
    <comment ref="S32" authorId="5" shapeId="0" xr:uid="{7EB7EEEF-F0BF-492F-A1FB-C002FF0BB0CB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wartośc krytyczna wyliczona z rozkładu chi-kwadrat dla podanego poziomu alfa= 0.05 i obliczonych stopni swobody  3</t>
      </text>
    </comment>
    <comment ref="S34" authorId="6" shapeId="0" xr:uid="{66FDE4F0-B0BF-4BD6-8CAE-CD715C3F665C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przeczytać w wykładzie kiedy odrzucamy hipoteze zerową na rzecz hipotezy alternatywnej a kiedy nia ma podstaw do odrzucenia hipotezy zerowej</t>
      </text>
    </comment>
    <comment ref="L35" authorId="7" shapeId="0" xr:uid="{BBB44573-3783-4BE3-9A4A-E1C9DAD43260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średnia i odchylenie obliczone z próby</t>
      </text>
    </comment>
    <comment ref="M35" authorId="8" shapeId="0" xr:uid="{73504C73-F92A-45A1-820A-8A82372667F5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średnia i odchylenie, co do których formułujemy hipoteze zerową  F(x) ma rozkład normalny z tymi parametrami</t>
      </text>
    </comment>
    <comment ref="S53" authorId="9" shapeId="0" xr:uid="{48DFE300-F368-4090-ACE8-BBE40330887D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jest to wartośc konieczna do testu "wartość statystyki testowej ob liczona zgodnie ze wzorem wymaganym w teście Chi-kwadrat</t>
      </text>
    </comment>
    <comment ref="S54" authorId="10" shapeId="0" xr:uid="{FADDFCF2-43D0-493D-9752-49B9DEA37695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wartośc krytyczna wyliczona z rozkładu chi-kwadrat dla podanego poziomu alfa= 0.05 i obliczonych stopni swobody  3</t>
      </text>
    </comment>
    <comment ref="S56" authorId="11" shapeId="0" xr:uid="{D8D25704-358A-46A0-A8CA-57CA027045EA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przeczytać w wykładzie kiedy odrzucamy hipoteze zerową na rzecz hipotezy alternatywnej a kiedy nia ma podstaw do odrzucenia hipotezy zerowej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tc={8A8B7C4B-9ADE-4AF4-9DAA-942DA5ED01BF}</author>
    <author>tc={BC314E18-33F4-43E4-A0C1-7B0F2313B199}</author>
    <author>tc={3482B5C7-5CFA-4F57-B95E-97DCE04E599A}</author>
    <author>tc={85375A1C-E920-4956-A921-E1BA9567DD47}</author>
  </authors>
  <commentList>
    <comment ref="C8" authorId="0" shapeId="0" xr:uid="{8A8B7C4B-9ADE-4AF4-9DAA-942DA5ED01BF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jak poprzednio, jets to najważniejszy element testu. Postawienie hipotezy</t>
      </text>
    </comment>
    <comment ref="Q12" authorId="1" shapeId="0" xr:uid="{BC314E18-33F4-43E4-A0C1-7B0F2313B199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 arkuszu tablica zanaczone sa na zielono wartość Q=0,95 a na czerwono wartość  krytyczna lambda_alfa</t>
      </text>
    </comment>
    <comment ref="E14" authorId="2" shapeId="0" xr:uid="{3482B5C7-5CFA-4F57-B95E-97DCE04E599A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obliczenia do wyznaczenia szeregu</t>
      </text>
    </comment>
    <comment ref="G20" authorId="3" shapeId="0" xr:uid="{85375A1C-E920-4956-A921-E1BA9567DD47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szereg rozdzielczy zbudowany do testu Kołmogorowa- ma więcej klas niz wskazuje teoria, gdyz test wymaga porządkowania w "wąskie klasy". W praktyc etrzeba porobic duz klas, ale w taki sposób, żeby nie było klas z liczebnościa zero (ewentualnie może zdarzyc sie jedan lub dwie takie klasy na początku lub pod koniec szeregu.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tc={D22FF753-599F-4BBF-8CAC-27FCFD62BFCF}</author>
  </authors>
  <commentList>
    <comment ref="E14" authorId="0" shapeId="0" xr:uid="{D22FF753-599F-4BBF-8CAC-27FCFD62BFCF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Q=0.95 (żółte tło) - nie ma tej wartości w tablicy. Wtedy szukamy wartośc, kóra jest najbliżej.
odpowiadająca jej wartośc lambda to 1.36 (na niebieskim tle)</t>
      </text>
    </comment>
  </commentList>
</comments>
</file>

<file path=xl/sharedStrings.xml><?xml version="1.0" encoding="utf-8"?>
<sst xmlns="http://schemas.openxmlformats.org/spreadsheetml/2006/main" count="143" uniqueCount="79">
  <si>
    <t>Skocz</t>
  </si>
  <si>
    <t>lambda</t>
  </si>
  <si>
    <t>ABY ODCZYTAĆ LAMBDA_ALFA Z TABLIC</t>
  </si>
  <si>
    <t>LICZYMY WPIERW Q=1-ALFA I DOPIERO</t>
  </si>
  <si>
    <t>KORZYSTAMY Z TABLIC.</t>
  </si>
  <si>
    <t>wartośc statystyki</t>
  </si>
  <si>
    <t>Q _x001C_</t>
  </si>
  <si>
    <t>Tablice Kołmogorowa</t>
  </si>
  <si>
    <t>Q</t>
  </si>
  <si>
    <t>n</t>
  </si>
  <si>
    <t>r</t>
  </si>
  <si>
    <t>k</t>
  </si>
  <si>
    <t>h</t>
  </si>
  <si>
    <t>lewy</t>
  </si>
  <si>
    <t>Czy rozkład skoczności jest rozkładem Poissona?</t>
  </si>
  <si>
    <t>o k-r-1 stopniach swobody, gdzie r - liczba parametrów rozkładu teoretycznego</t>
  </si>
  <si>
    <t>Xmax</t>
  </si>
  <si>
    <t>Xmin</t>
  </si>
  <si>
    <t>X01</t>
  </si>
  <si>
    <t>prawy</t>
  </si>
  <si>
    <t>ni</t>
  </si>
  <si>
    <t>stopnie sw.</t>
  </si>
  <si>
    <t>alfa</t>
  </si>
  <si>
    <t>srednia</t>
  </si>
  <si>
    <t>odchylenie</t>
  </si>
  <si>
    <t>F0(x0i)</t>
  </si>
  <si>
    <t>F0(x1i)</t>
  </si>
  <si>
    <t>F0(x1i)-F0(x0i)</t>
  </si>
  <si>
    <t>pi</t>
  </si>
  <si>
    <t>npi</t>
  </si>
  <si>
    <t>(npi-ni)2</t>
  </si>
  <si>
    <t>(npi-ni)^2/npi</t>
  </si>
  <si>
    <t>stat. Testowa</t>
  </si>
  <si>
    <t>wartosc krytyczna</t>
  </si>
  <si>
    <t>średnia</t>
  </si>
  <si>
    <t>(npi-ni)^2</t>
  </si>
  <si>
    <t>wart. Stat. Test</t>
  </si>
  <si>
    <t>wart. Krytyczna</t>
  </si>
  <si>
    <t>liczba st. swo.</t>
  </si>
  <si>
    <t>ni skumul.</t>
  </si>
  <si>
    <t>Fn(x)</t>
  </si>
  <si>
    <t>xi</t>
  </si>
  <si>
    <t>x średnia</t>
  </si>
  <si>
    <t>s (odch. Stand.)</t>
  </si>
  <si>
    <t>F0(xi)</t>
  </si>
  <si>
    <t>|Fn(x)-F0(xi)|</t>
  </si>
  <si>
    <t>maksimum</t>
  </si>
  <si>
    <t>war. Stat. Testowej</t>
  </si>
  <si>
    <t>prawy wzór</t>
  </si>
  <si>
    <t>wartość krytyczna</t>
  </si>
  <si>
    <t>odczytane z arkusza tablica</t>
  </si>
  <si>
    <t>Wniosek:</t>
  </si>
  <si>
    <t>Nie ma podstaw do odrzucenia H0 ponieważ war. Stat. Testowej jest mniejsza niż wartość krytyczna.</t>
  </si>
  <si>
    <t xml:space="preserve">H1: tak nie jest </t>
  </si>
  <si>
    <t>H0: F(x) ma rozkład Poissona z parametrem (z komórki J26)</t>
  </si>
  <si>
    <t>testowej:</t>
  </si>
  <si>
    <t>wartość krytyczną odczytujemy z rozkładu CHI kwadrat</t>
  </si>
  <si>
    <t>odrzucamy hipotezę zerową</t>
  </si>
  <si>
    <t>liczba klas</t>
  </si>
  <si>
    <t>r=2 bo rozkład normalny zalezy od 2 parametrów</t>
  </si>
  <si>
    <t>alfa to poziom istotności wybierany arbitralnie praez badacza</t>
  </si>
  <si>
    <t>r=1, bo rozkład Poissona zalezy tylko od jednego parametru lambda</t>
  </si>
  <si>
    <t>Wiek</t>
  </si>
  <si>
    <t>wys</t>
  </si>
  <si>
    <t>test zgodności z rozkładem Poissona</t>
  </si>
  <si>
    <t>r=1 bo rozkład Poissona zalezy od 1 parametru</t>
  </si>
  <si>
    <t>nie ma podstaw do odrzucenia hipotezy zerowej</t>
  </si>
  <si>
    <t>Dotyczy dowolnych rozkładów (ciągłych i dyskretnych)</t>
  </si>
  <si>
    <t>Próba musi być duża n&gt;30</t>
  </si>
  <si>
    <t xml:space="preserve">Elementy w próbie podzielone na k klas </t>
  </si>
  <si>
    <t>k musi być takie, żeby liczba stopni swobody, czyli k-r-1 była &gt; = 3</t>
  </si>
  <si>
    <t>Dotyczy rozkładów ciągłych</t>
  </si>
  <si>
    <t>Wyniki próby porządkujemy w wąskie przedziały (wiecej klas, ale unikamy klas o zerowej liczebności)</t>
  </si>
  <si>
    <t>(x0i, x1i) tak by liczebność ni każdej klasy była co najmniej 8</t>
  </si>
  <si>
    <t>H0: F(x) ma rozkład Poissona z parametremi (z komórki M35)</t>
  </si>
  <si>
    <t>H0: F(x) ma rozkład normalny z parametrami (z komórek M35 i M36)</t>
  </si>
  <si>
    <t>H0: F(x) ma rozkład normalny z parametrami (z komórek L13 i L14)</t>
  </si>
  <si>
    <t>test zgodnosci z rozkładem normalnym</t>
  </si>
  <si>
    <t>rozstep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</si>
</sst>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9"/>
      <name val="Arial CE"/>
      <charset val="238"/>
    </font>
    <font>
      <sz val="9"/>
      <name val="Arial CE"/>
      <family val="2"/>
      <charset val="238"/>
    </font>
    <font>
      <sz val="9"/>
      <color rgb="FFFF0000"/>
      <name val="Arial CE"/>
      <charset val="238"/>
    </font>
    <font>
      <sz val="9"/>
      <color theme="3" tint="-0.249977111117893"/>
      <name val="Arial CE"/>
      <charset val="238"/>
    </font>
    <font>
      <b/>
      <sz val="9"/>
      <name val="Arial CE"/>
      <charset val="238"/>
    </font>
    <font>
      <sz val="14"/>
      <name val="Arial CE"/>
      <charset val="238"/>
    </font>
    <font>
      <b/>
      <sz val="14"/>
      <name val="Arial CE"/>
      <charset val="238"/>
    </font>
    <font>
      <b/>
      <sz val="16"/>
      <color rgb="FFFF0000"/>
      <name val="Arial CE"/>
      <charset val="238"/>
    </font>
    <font>
      <b/>
      <sz val="9"/>
      <color rgb="FFFF0000"/>
      <name val="Arial CE"/>
      <charset val="238"/>
    </font>
    <font>
      <sz val="9"/>
      <color rgb="FF00B050"/>
      <name val="Arial CE"/>
      <charset val="23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FFF2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1" fillId="0" borderId="0" xfId="1" applyAlignment="1">
      <alignment horizontal="center"/>
    </xf>
    <xf numFmtId="0" fontId="1" fillId="0" borderId="0" xfId="1"/>
    <xf numFmtId="164" fontId="1" fillId="0" borderId="0" xfId="1" applyNumberFormat="1"/>
    <xf numFmtId="0" fontId="2" fillId="0" borderId="0" xfId="0" applyFont="1"/>
    <xf numFmtId="164" fontId="0" fillId="0" borderId="0" xfId="0" applyNumberFormat="1"/>
    <xf numFmtId="0" fontId="3" fillId="2" borderId="0" xfId="0" applyFont="1" applyFill="1"/>
    <xf numFmtId="0" fontId="4" fillId="0" borderId="0" xfId="0" applyFont="1"/>
    <xf numFmtId="0" fontId="5" fillId="3" borderId="9" xfId="0" applyFont="1" applyFill="1" applyBorder="1"/>
    <xf numFmtId="0" fontId="6" fillId="3" borderId="9" xfId="0" applyFont="1" applyFill="1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quotePrefix="1"/>
    <xf numFmtId="0" fontId="0" fillId="0" borderId="0" xfId="0" applyAlignment="1">
      <alignment wrapText="1"/>
    </xf>
    <xf numFmtId="0" fontId="0" fillId="0" borderId="9" xfId="0" applyBorder="1"/>
    <xf numFmtId="0" fontId="0" fillId="0" borderId="9" xfId="0" applyBorder="1" applyAlignment="1">
      <alignment horizontal="center"/>
    </xf>
    <xf numFmtId="1" fontId="0" fillId="0" borderId="9" xfId="0" applyNumberFormat="1" applyBorder="1"/>
    <xf numFmtId="0" fontId="0" fillId="0" borderId="0" xfId="0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4" borderId="9" xfId="0" applyFill="1" applyBorder="1"/>
    <xf numFmtId="0" fontId="4" fillId="4" borderId="9" xfId="0" applyFont="1" applyFill="1" applyBorder="1"/>
    <xf numFmtId="0" fontId="4" fillId="5" borderId="1" xfId="0" applyFont="1" applyFill="1" applyBorder="1"/>
    <xf numFmtId="0" fontId="0" fillId="5" borderId="2" xfId="0" applyFill="1" applyBorder="1"/>
    <xf numFmtId="0" fontId="0" fillId="5" borderId="3" xfId="0" applyFill="1" applyBorder="1"/>
    <xf numFmtId="0" fontId="4" fillId="5" borderId="4" xfId="0" applyFont="1" applyFill="1" applyBorder="1"/>
    <xf numFmtId="0" fontId="0" fillId="5" borderId="0" xfId="0" applyFill="1"/>
    <xf numFmtId="0" fontId="0" fillId="5" borderId="5" xfId="0" applyFill="1" applyBorder="1"/>
    <xf numFmtId="0" fontId="0" fillId="5" borderId="4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8" fillId="0" borderId="0" xfId="0" applyFont="1"/>
    <xf numFmtId="0" fontId="4" fillId="5" borderId="0" xfId="0" applyFont="1" applyFill="1"/>
    <xf numFmtId="164" fontId="0" fillId="5" borderId="0" xfId="0" applyNumberFormat="1" applyFill="1"/>
    <xf numFmtId="0" fontId="8" fillId="0" borderId="16" xfId="0" applyFont="1" applyBorder="1"/>
    <xf numFmtId="0" fontId="8" fillId="0" borderId="17" xfId="0" applyFont="1" applyBorder="1"/>
    <xf numFmtId="0" fontId="9" fillId="0" borderId="15" xfId="0" applyFont="1" applyBorder="1"/>
    <xf numFmtId="0" fontId="6" fillId="5" borderId="9" xfId="0" applyFont="1" applyFill="1" applyBorder="1" applyAlignment="1">
      <alignment horizontal="center"/>
    </xf>
    <xf numFmtId="0" fontId="5" fillId="5" borderId="9" xfId="0" applyFont="1" applyFill="1" applyBorder="1"/>
    <xf numFmtId="0" fontId="0" fillId="2" borderId="0" xfId="0" applyFill="1"/>
    <xf numFmtId="2" fontId="1" fillId="0" borderId="0" xfId="1" applyNumberFormat="1"/>
    <xf numFmtId="2" fontId="1" fillId="6" borderId="0" xfId="1" applyNumberFormat="1" applyFill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2" borderId="9" xfId="0" applyNumberFormat="1" applyFill="1" applyBorder="1" applyAlignment="1">
      <alignment horizontal="center"/>
    </xf>
    <xf numFmtId="0" fontId="9" fillId="0" borderId="6" xfId="0" applyFont="1" applyBorder="1"/>
    <xf numFmtId="0" fontId="2" fillId="0" borderId="18" xfId="0" applyFont="1" applyBorder="1"/>
    <xf numFmtId="0" fontId="0" fillId="2" borderId="9" xfId="0" applyFill="1" applyBorder="1"/>
    <xf numFmtId="1" fontId="0" fillId="2" borderId="9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7" borderId="0" xfId="0" applyFill="1"/>
    <xf numFmtId="0" fontId="2" fillId="7" borderId="0" xfId="0" applyFont="1" applyFill="1"/>
  </cellXfs>
  <cellStyles count="2">
    <cellStyle name="Normalny" xfId="0" builtinId="0"/>
    <cellStyle name="Normalny_AWF_fem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123825</xdr:colOff>
      <xdr:row>0</xdr:row>
      <xdr:rowOff>0</xdr:rowOff>
    </xdr:from>
    <xdr:to>
      <xdr:col>14</xdr:col>
      <xdr:colOff>330273</xdr:colOff>
      <xdr:row>5</xdr:row>
      <xdr:rowOff>34894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9250" t="65451" r="37417" b="17913"/>
        <a:stretch>
          <a:fillRect/>
        </a:stretch>
      </xdr:blipFill>
      <xdr:spPr bwMode="auto">
        <a:xfrm>
          <a:off x="6219825" y="0"/>
          <a:ext cx="2035248" cy="806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571501</xdr:colOff>
      <xdr:row>1</xdr:row>
      <xdr:rowOff>123825</xdr:rowOff>
    </xdr:from>
    <xdr:to>
      <xdr:col>13</xdr:col>
      <xdr:colOff>9526</xdr:colOff>
      <xdr:row>5</xdr:row>
      <xdr:rowOff>6354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5588" t="24200" r="39763" b="64743"/>
        <a:stretch>
          <a:fillRect/>
        </a:stretch>
      </xdr:blipFill>
      <xdr:spPr bwMode="auto">
        <a:xfrm>
          <a:off x="6553201" y="276225"/>
          <a:ext cx="2266950" cy="492129"/>
        </a:xfrm>
        <a:prstGeom prst="rect">
          <a:avLst/>
        </a:prstGeom>
        <a:solidFill>
          <a:schemeClr val="accent2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123824</xdr:colOff>
      <xdr:row>1</xdr:row>
      <xdr:rowOff>118330</xdr:rowOff>
    </xdr:from>
    <xdr:to>
      <xdr:col>15</xdr:col>
      <xdr:colOff>259721</xdr:colOff>
      <xdr:row>4</xdr:row>
      <xdr:rowOff>128650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5588" t="35257" r="53938" b="53686"/>
        <a:stretch>
          <a:fillRect/>
        </a:stretch>
      </xdr:blipFill>
      <xdr:spPr bwMode="auto">
        <a:xfrm>
          <a:off x="8934449" y="270730"/>
          <a:ext cx="1355097" cy="4675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ozena Staruch" id="{AE910D4A-F602-48C9-8773-61DAE4B831F1}" userId="8634cb30b20d8144" providerId="Windows Live"/>
</personList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3" dT="2020-03-31T07:26:08.85" personId="{AE910D4A-F602-48C9-8773-61DAE4B831F1}" id="{D858413B-24D6-4718-B409-A954AB1C1EBE}">
    <text>To jets najważniejszy element testu. Sformułowanie hipotezy zerowej i alternatywnej. W konkretnym zadaniu nalezy podac konkretne wartości średniej i odchylenia np. 21,5 ; 2,4</text>
  </threadedComment>
  <threadedComment ref="E17" dT="2020-03-31T07:28:13.34" personId="{AE910D4A-F602-48C9-8773-61DAE4B831F1}" id="{47DAA7D4-C71F-450C-B1F5-8F5BDF147536}">
    <text>to są obliczenia konieczne do zbudowania szeregu rozdzielczego</text>
  </threadedComment>
  <threadedComment ref="G23" dT="2020-03-31T07:30:03.05" personId="{AE910D4A-F602-48C9-8773-61DAE4B831F1}" id="{C4606217-B81F-4792-8439-013F582FB5DF}">
    <text>to jest szereg rozdzielczy, ale ma wadę. nie spełnia założen testu chi-kwadrat. Bardzo ważne!!! Liczebnośc każdej klasy powinna być &gt;= 8</text>
  </threadedComment>
  <threadedComment ref="L23" dT="2020-03-31T07:33:42.11" personId="{AE910D4A-F602-48C9-8773-61DAE4B831F1}" id="{13493772-270C-49BA-86C5-85A90AD3477B}">
    <text>to jest szereg rozdzielczy spełniający założenia testu. Został uzyskany przez sklejanie klas. np. klasa 15,3 - 17 maiła liczebność 4 a klasa 17 - 18,7 miała liczebnośc 5. Jak dodamy 4+5 to będzie 9 &gt;= 8. Zatem możemy skleic te dwie klasy w jedna "podwójną" 15,3-18,7 z liczebnościa 9.</text>
  </threadedComment>
  <threadedComment ref="L23" dT="2020-03-31T07:35:21.57" personId="{AE910D4A-F602-48C9-8773-61DAE4B831F1}" id="{39BEE2B7-E7A1-4A32-80BB-A627977FB02B}" parentId="{13493772-270C-49BA-86C5-85A90AD3477B}">
    <text>ostatnia klasa 25.5-30.6 powstała przez sklejenie trzech ostatnich klas o liczebnosciach 9,2,1</text>
  </threadedComment>
  <threadedComment ref="S31" dT="2020-03-31T07:36:52.08" personId="{AE910D4A-F602-48C9-8773-61DAE4B831F1}" id="{F76A8DA7-90A4-4AFB-AD2B-67A870DCEA8C}">
    <text>jest to wartośc konieczna do testu "wartość statystyki testowej ob liczona zgodnie ze wzorem wymaganym w teście Chi-kwadrat</text>
  </threadedComment>
  <threadedComment ref="S32" dT="2020-03-31T07:38:25.24" personId="{AE910D4A-F602-48C9-8773-61DAE4B831F1}" id="{7EB7EEEF-F0BF-492F-A1FB-C002FF0BB0CB}">
    <text>wartośc krytyczna wyliczona z rozkładu chi-kwadrat dla podanego poziomu alfa= 0.05 i obliczonych stopni swobody  3</text>
  </threadedComment>
  <threadedComment ref="S34" dT="2020-03-31T07:45:40.88" personId="{AE910D4A-F602-48C9-8773-61DAE4B831F1}" id="{66FDE4F0-B0BF-4BD6-8CAE-CD715C3F665C}">
    <text>przeczytać w wykładzie kiedy odrzucamy hipoteze zerową na rzecz hipotezy alternatywnej a kiedy nia ma podstaw do odrzucenia hipotezy zerowej</text>
  </threadedComment>
  <threadedComment ref="L35" dT="2020-03-31T07:46:21.02" personId="{AE910D4A-F602-48C9-8773-61DAE4B831F1}" id="{BBB44573-3783-4BE3-9A4A-E1C9DAD43260}">
    <text>średnia i odchylenie obliczone z próby</text>
  </threadedComment>
  <threadedComment ref="M35" dT="2020-03-31T07:47:37.02" personId="{AE910D4A-F602-48C9-8773-61DAE4B831F1}" id="{73504C73-F92A-45A1-820A-8A82372667F5}">
    <text>średnia i odchylenie, co do których formułujemy hipoteze zerową  F(x) ma rozkład normalny z tymi parametrami</text>
  </threadedComment>
  <threadedComment ref="S53" dT="2020-03-31T07:36:52.08" personId="{AE910D4A-F602-48C9-8773-61DAE4B831F1}" id="{48DFE300-F368-4090-ACE8-BBE40330887D}">
    <text>jest to wartośc konieczna do testu "wartość statystyki testowej ob liczona zgodnie ze wzorem wymaganym w teście Chi-kwadrat</text>
  </threadedComment>
  <threadedComment ref="S54" dT="2020-03-31T07:38:25.24" personId="{AE910D4A-F602-48C9-8773-61DAE4B831F1}" id="{FADDFCF2-43D0-493D-9752-49B9DEA37695}">
    <text>wartośc krytyczna wyliczona z rozkładu chi-kwadrat dla podanego poziomu alfa= 0.05 i obliczonych stopni swobody  3</text>
  </threadedComment>
  <threadedComment ref="S56" dT="2020-03-31T07:45:40.88" personId="{AE910D4A-F602-48C9-8773-61DAE4B831F1}" id="{D8D25704-358A-46A0-A8CA-57CA027045EA}">
    <text>przeczytać w wykładzie kiedy odrzucamy hipoteze zerową na rzecz hipotezy alternatywnej a kiedy nia ma podstaw do odrzucenia hipotezy zerowej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8" dT="2020-03-31T08:05:36.09" personId="{AE910D4A-F602-48C9-8773-61DAE4B831F1}" id="{8A8B7C4B-9ADE-4AF4-9DAA-942DA5ED01BF}">
    <text>jak poprzednio, jets to najważniejszy element testu. Postawienie hipotezy</text>
  </threadedComment>
  <threadedComment ref="Q12" dT="2020-03-31T07:57:25.00" personId="{AE910D4A-F602-48C9-8773-61DAE4B831F1}" id="{BC314E18-33F4-43E4-A0C1-7B0F2313B199}">
    <text>w arkuszu tablica zanaczone sa na zielono wartość Q=0,95 a na czerwono wartość  krytyczna lambda_alfa</text>
  </threadedComment>
  <threadedComment ref="E14" dT="2020-03-31T08:03:51.22" personId="{AE910D4A-F602-48C9-8773-61DAE4B831F1}" id="{3482B5C7-5CFA-4F57-B95E-97DCE04E599A}">
    <text>obliczenia do wyznaczenia szeregu</text>
  </threadedComment>
  <threadedComment ref="G20" dT="2020-03-31T08:03:11.09" personId="{AE910D4A-F602-48C9-8773-61DAE4B831F1}" id="{85375A1C-E920-4956-A921-E1BA9567DD47}">
    <text>szereg rozdzielczy zbudowany do testu Kołmogorowa- ma więcej klas niz wskazuje teoria, gdyz test wymaga porządkowania w "wąskie klasy". W praktyc etrzeba porobic duz klas, ale w taki sposób, żeby nie było klas z liczebnościa zero (ewentualnie może zdarzyc sie jedan lub dwie takie klasy na początku lub pod koniec szeregu.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4" dT="2020-03-31T07:59:28.26" personId="{AE910D4A-F602-48C9-8773-61DAE4B831F1}" id="{D22FF753-599F-4BBF-8CAC-27FCFD62BFCF}">
    <text>Q=0.95 (żółte tło) - nie ma tej wartości w tablicy. Wtedy szukamy wartośc, kóra jest najbliżej.
odpowiadająca jej wartośc lambda to 1.36 (na niebieskim tle)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2"/>
  <sheetViews>
    <sheetView topLeftCell="C1" zoomScale="110" zoomScaleNormal="110" workbookViewId="0">
      <selection activeCell="D12" sqref="D12"/>
    </sheetView>
  </sheetViews>
  <sheetFormatPr defaultRowHeight="12" x14ac:dyDescent="0.2"/>
  <cols>
    <col min="1" max="2" width="6.42578125" style="47" bestFit="1" customWidth="1"/>
    <col min="8" max="8" width="15.28515625" customWidth="1"/>
    <col min="17" max="17" width="11.85546875" customWidth="1"/>
    <col min="19" max="19" width="15" customWidth="1"/>
    <col min="20" max="20" width="10.140625" customWidth="1"/>
  </cols>
  <sheetData>
    <row r="1" spans="1:16" ht="12.75" thickBot="1" x14ac:dyDescent="0.25"/>
    <row r="2" spans="1:16" x14ac:dyDescent="0.2">
      <c r="A2" s="48" t="s">
        <v>62</v>
      </c>
      <c r="B2" s="48" t="s">
        <v>63</v>
      </c>
      <c r="D2" s="28" t="s">
        <v>67</v>
      </c>
      <c r="E2" s="29"/>
      <c r="F2" s="29"/>
      <c r="G2" s="29"/>
      <c r="H2" s="29"/>
      <c r="I2" s="29"/>
      <c r="J2" s="29" t="s">
        <v>5</v>
      </c>
      <c r="K2" s="29"/>
      <c r="L2" s="29"/>
      <c r="M2" s="29"/>
      <c r="N2" s="29"/>
      <c r="O2" s="29"/>
      <c r="P2" s="30"/>
    </row>
    <row r="3" spans="1:16" x14ac:dyDescent="0.2">
      <c r="A3" s="47">
        <v>10.52</v>
      </c>
      <c r="B3" s="3">
        <v>142.19999999999999</v>
      </c>
      <c r="D3" s="31" t="s">
        <v>68</v>
      </c>
      <c r="E3" s="32"/>
      <c r="F3" s="32"/>
      <c r="G3" s="32"/>
      <c r="H3" s="32"/>
      <c r="I3" s="32"/>
      <c r="J3" s="32" t="s">
        <v>55</v>
      </c>
      <c r="K3" s="32"/>
      <c r="L3" s="32"/>
      <c r="M3" s="32"/>
      <c r="N3" s="32"/>
      <c r="O3" s="32"/>
      <c r="P3" s="33"/>
    </row>
    <row r="4" spans="1:16" x14ac:dyDescent="0.2">
      <c r="A4" s="47">
        <v>10.53</v>
      </c>
      <c r="B4" s="3">
        <v>138.9</v>
      </c>
      <c r="D4" s="31" t="s">
        <v>69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3"/>
    </row>
    <row r="5" spans="1:16" x14ac:dyDescent="0.2">
      <c r="A5" s="47">
        <v>10.53</v>
      </c>
      <c r="B5" s="3">
        <v>140.30000000000001</v>
      </c>
      <c r="D5" s="31" t="s">
        <v>73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3"/>
    </row>
    <row r="6" spans="1:16" x14ac:dyDescent="0.2">
      <c r="A6" s="47">
        <v>10.53</v>
      </c>
      <c r="B6" s="3">
        <v>137.4</v>
      </c>
      <c r="D6" s="3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3"/>
    </row>
    <row r="7" spans="1:16" x14ac:dyDescent="0.2">
      <c r="A7" s="47">
        <v>10.53</v>
      </c>
      <c r="B7" s="3">
        <v>143.1</v>
      </c>
      <c r="D7" s="31" t="s">
        <v>70</v>
      </c>
      <c r="E7" s="32"/>
      <c r="F7" s="32"/>
      <c r="G7" s="32"/>
      <c r="H7" s="32"/>
      <c r="I7" s="32"/>
      <c r="J7" s="32" t="s">
        <v>56</v>
      </c>
      <c r="K7" s="32"/>
      <c r="L7" s="32"/>
      <c r="M7" s="32"/>
      <c r="N7" s="32"/>
      <c r="O7" s="32"/>
      <c r="P7" s="33"/>
    </row>
    <row r="8" spans="1:16" x14ac:dyDescent="0.2">
      <c r="A8" s="47">
        <v>10.54</v>
      </c>
      <c r="B8" s="3">
        <v>133.6</v>
      </c>
      <c r="D8" s="34"/>
      <c r="E8" s="32"/>
      <c r="F8" s="32"/>
      <c r="G8" s="32"/>
      <c r="H8" s="32"/>
      <c r="I8" s="32"/>
      <c r="J8" s="32" t="s">
        <v>15</v>
      </c>
      <c r="K8" s="32"/>
      <c r="L8" s="32"/>
      <c r="M8" s="32"/>
      <c r="N8" s="32"/>
      <c r="O8" s="32"/>
      <c r="P8" s="33"/>
    </row>
    <row r="9" spans="1:16" x14ac:dyDescent="0.2">
      <c r="A9" s="47">
        <v>10.54</v>
      </c>
      <c r="B9" s="3">
        <v>141.80000000000001</v>
      </c>
      <c r="D9" s="34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3"/>
    </row>
    <row r="10" spans="1:16" ht="12.75" thickBot="1" x14ac:dyDescent="0.25">
      <c r="A10" s="47">
        <v>10.56</v>
      </c>
      <c r="B10" s="3">
        <v>137.5</v>
      </c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7"/>
    </row>
    <row r="11" spans="1:16" x14ac:dyDescent="0.2">
      <c r="A11" s="47">
        <v>10.56</v>
      </c>
      <c r="B11" s="3">
        <v>154.5</v>
      </c>
    </row>
    <row r="12" spans="1:16" x14ac:dyDescent="0.2">
      <c r="A12" s="47">
        <v>10.56</v>
      </c>
      <c r="B12" s="3">
        <v>148.6</v>
      </c>
      <c r="D12" s="4" t="s">
        <v>77</v>
      </c>
    </row>
    <row r="13" spans="1:16" x14ac:dyDescent="0.2">
      <c r="A13" s="47">
        <v>10.57</v>
      </c>
      <c r="B13" s="3">
        <v>146</v>
      </c>
      <c r="E13" t="s">
        <v>75</v>
      </c>
      <c r="K13" t="s">
        <v>53</v>
      </c>
    </row>
    <row r="14" spans="1:16" x14ac:dyDescent="0.2">
      <c r="A14" s="47">
        <v>10.57</v>
      </c>
      <c r="B14" s="3">
        <v>146.5</v>
      </c>
    </row>
    <row r="15" spans="1:16" x14ac:dyDescent="0.2">
      <c r="A15" s="47">
        <v>10.58</v>
      </c>
      <c r="B15" s="3">
        <v>136.69999999999999</v>
      </c>
    </row>
    <row r="16" spans="1:16" x14ac:dyDescent="0.2">
      <c r="A16" s="47">
        <v>10.58</v>
      </c>
      <c r="B16" s="3">
        <v>146.19999999999999</v>
      </c>
    </row>
    <row r="17" spans="1:20" x14ac:dyDescent="0.2">
      <c r="A17" s="47">
        <v>10.58</v>
      </c>
      <c r="B17" s="3">
        <v>149.6</v>
      </c>
      <c r="E17" s="11" t="s">
        <v>9</v>
      </c>
      <c r="F17">
        <f>COUNT(B:B)</f>
        <v>70</v>
      </c>
      <c r="G17" s="11" t="s">
        <v>11</v>
      </c>
      <c r="H17">
        <f>SQRT(F17)</f>
        <v>8.3666002653407556</v>
      </c>
      <c r="I17" s="27">
        <v>9</v>
      </c>
    </row>
    <row r="18" spans="1:20" x14ac:dyDescent="0.2">
      <c r="A18" s="47">
        <v>10.58</v>
      </c>
      <c r="B18" s="3">
        <v>133</v>
      </c>
      <c r="E18" s="11" t="s">
        <v>16</v>
      </c>
      <c r="F18" s="12">
        <f>MAX(B:B)</f>
        <v>158.19999999999999</v>
      </c>
      <c r="G18" s="11" t="s">
        <v>12</v>
      </c>
      <c r="H18">
        <f>F20/I17</f>
        <v>3.1555555555555532</v>
      </c>
      <c r="I18" s="27">
        <v>3.5</v>
      </c>
    </row>
    <row r="19" spans="1:20" x14ac:dyDescent="0.2">
      <c r="A19" s="47">
        <v>10.61</v>
      </c>
      <c r="B19" s="3">
        <v>151.19999999999999</v>
      </c>
      <c r="E19" s="11" t="s">
        <v>17</v>
      </c>
      <c r="F19" s="12">
        <f>MIN(B:B)</f>
        <v>129.80000000000001</v>
      </c>
      <c r="G19" s="11" t="s">
        <v>18</v>
      </c>
      <c r="H19">
        <f>F19-(I18/2)</f>
        <v>128.05000000000001</v>
      </c>
      <c r="I19" s="27">
        <v>128</v>
      </c>
    </row>
    <row r="20" spans="1:20" x14ac:dyDescent="0.2">
      <c r="A20" s="47">
        <v>10.61</v>
      </c>
      <c r="B20" s="3">
        <v>146</v>
      </c>
      <c r="E20" s="11" t="s">
        <v>78</v>
      </c>
      <c r="F20" s="12">
        <f>F18-F19</f>
        <v>28.399999999999977</v>
      </c>
    </row>
    <row r="21" spans="1:20" x14ac:dyDescent="0.2">
      <c r="A21" s="47">
        <v>10.64</v>
      </c>
      <c r="B21" s="3">
        <v>147</v>
      </c>
      <c r="E21" s="5"/>
    </row>
    <row r="22" spans="1:20" x14ac:dyDescent="0.2">
      <c r="A22" s="47">
        <v>10.64</v>
      </c>
      <c r="B22" s="3">
        <v>143.4</v>
      </c>
      <c r="Q22" s="17"/>
    </row>
    <row r="23" spans="1:20" x14ac:dyDescent="0.2">
      <c r="A23" s="47">
        <v>10.64</v>
      </c>
      <c r="B23" s="3">
        <v>142</v>
      </c>
      <c r="F23" s="25" t="s">
        <v>13</v>
      </c>
      <c r="G23" s="25" t="s">
        <v>19</v>
      </c>
      <c r="H23" s="22" t="s">
        <v>20</v>
      </c>
      <c r="K23" s="25"/>
      <c r="L23" s="25" t="s">
        <v>13</v>
      </c>
      <c r="M23" s="22" t="s">
        <v>19</v>
      </c>
      <c r="N23" s="53" t="s">
        <v>20</v>
      </c>
      <c r="O23" s="21" t="s">
        <v>25</v>
      </c>
      <c r="P23" s="21" t="s">
        <v>26</v>
      </c>
      <c r="Q23" s="21" t="s">
        <v>28</v>
      </c>
      <c r="R23" s="53" t="s">
        <v>29</v>
      </c>
      <c r="S23" s="21" t="s">
        <v>30</v>
      </c>
      <c r="T23" s="21" t="s">
        <v>31</v>
      </c>
    </row>
    <row r="24" spans="1:20" x14ac:dyDescent="0.2">
      <c r="A24" s="47">
        <v>10.64</v>
      </c>
      <c r="B24" s="3">
        <v>147.30000000000001</v>
      </c>
      <c r="E24">
        <v>1</v>
      </c>
      <c r="F24" s="21">
        <f>I19</f>
        <v>128</v>
      </c>
      <c r="G24" s="21">
        <f>F24+$I$18</f>
        <v>131.5</v>
      </c>
      <c r="H24" s="50">
        <f>COUNTIF(B:B,"&lt;="&amp;G24)-COUNTIF(B:B,"&lt;="&amp;F24)</f>
        <v>1</v>
      </c>
      <c r="K24" s="21">
        <v>1</v>
      </c>
      <c r="L24" s="22">
        <f>F24</f>
        <v>128</v>
      </c>
      <c r="M24" s="25">
        <f>G26</f>
        <v>138.5</v>
      </c>
      <c r="N24" s="54">
        <f t="shared" ref="N24:N29" si="0">COUNTIF(B:B,"&lt;="&amp;M24)-COUNTIF(B:B,"&lt;="&amp;L24)</f>
        <v>10</v>
      </c>
      <c r="O24" s="21">
        <f>NORMDIST(L24,$M$35,$M$36,1)</f>
        <v>2.264817433281505E-3</v>
      </c>
      <c r="P24" s="21">
        <f>NORMDIST(M24,$M$35,$M$36,1)</f>
        <v>0.12607117512350968</v>
      </c>
      <c r="Q24" s="21">
        <f>P24-O24</f>
        <v>0.12380635769022817</v>
      </c>
      <c r="R24" s="53">
        <f>Q24*$F$17</f>
        <v>8.6664450383159721</v>
      </c>
      <c r="S24" s="21">
        <f>(R24-N24)^2</f>
        <v>1.778368835832089</v>
      </c>
      <c r="T24" s="21">
        <f>S24/R24</f>
        <v>0.2052016516541198</v>
      </c>
    </row>
    <row r="25" spans="1:20" x14ac:dyDescent="0.2">
      <c r="A25" s="47">
        <v>10.65</v>
      </c>
      <c r="B25" s="3">
        <v>139.5</v>
      </c>
      <c r="E25">
        <v>2</v>
      </c>
      <c r="F25" s="21">
        <f>G24</f>
        <v>131.5</v>
      </c>
      <c r="G25" s="21">
        <f t="shared" ref="G25:G32" si="1">F25+$I$18</f>
        <v>135</v>
      </c>
      <c r="H25" s="50">
        <f t="shared" ref="H25:H32" si="2">COUNTIF(B:B,"&lt;="&amp;G25)-COUNTIF(B:B,"&lt;="&amp;F25)</f>
        <v>2</v>
      </c>
      <c r="K25" s="21">
        <v>2</v>
      </c>
      <c r="L25" s="22">
        <f>F27</f>
        <v>138.5</v>
      </c>
      <c r="M25" s="25">
        <f>G27</f>
        <v>142</v>
      </c>
      <c r="N25" s="54">
        <f t="shared" si="0"/>
        <v>11</v>
      </c>
      <c r="O25" s="21">
        <f t="shared" ref="O25:O29" si="3">NORMDIST(L25,$M$35,$M$36,1)</f>
        <v>0.12607117512350968</v>
      </c>
      <c r="P25" s="21">
        <f t="shared" ref="P25:P29" si="4">NORMDIST(M25,$M$35,$M$36,1)</f>
        <v>0.28073981416112836</v>
      </c>
      <c r="Q25" s="21">
        <f t="shared" ref="Q25:Q29" si="5">P25-O25</f>
        <v>0.15466863903761868</v>
      </c>
      <c r="R25" s="53">
        <f t="shared" ref="R25:R29" si="6">Q25*$F$17</f>
        <v>10.826804732633308</v>
      </c>
      <c r="S25" s="21">
        <f t="shared" ref="S25:S29" si="7">(R25-N25)^2</f>
        <v>2.9996600638219965E-2</v>
      </c>
      <c r="T25" s="21">
        <f t="shared" ref="T25:T29" si="8">S25/R25</f>
        <v>2.7705866485064202E-3</v>
      </c>
    </row>
    <row r="26" spans="1:20" x14ac:dyDescent="0.2">
      <c r="A26" s="47">
        <v>10.65</v>
      </c>
      <c r="B26" s="3">
        <v>137.19999999999999</v>
      </c>
      <c r="E26">
        <v>3</v>
      </c>
      <c r="F26" s="21">
        <f t="shared" ref="F26:F32" si="9">G25</f>
        <v>135</v>
      </c>
      <c r="G26" s="21">
        <f t="shared" si="1"/>
        <v>138.5</v>
      </c>
      <c r="H26" s="50">
        <f t="shared" si="2"/>
        <v>7</v>
      </c>
      <c r="K26" s="21">
        <v>3</v>
      </c>
      <c r="L26" s="22">
        <f t="shared" ref="L26:M26" si="10">F28</f>
        <v>142</v>
      </c>
      <c r="M26" s="25">
        <f t="shared" si="10"/>
        <v>145.5</v>
      </c>
      <c r="N26" s="54">
        <f t="shared" si="0"/>
        <v>10</v>
      </c>
      <c r="O26" s="21">
        <f t="shared" si="3"/>
        <v>0.28073981416112836</v>
      </c>
      <c r="P26" s="21">
        <f t="shared" si="4"/>
        <v>0.4935657260662723</v>
      </c>
      <c r="Q26" s="21">
        <f t="shared" si="5"/>
        <v>0.21282591190514394</v>
      </c>
      <c r="R26" s="53">
        <f t="shared" si="6"/>
        <v>14.897813833360075</v>
      </c>
      <c r="S26" s="21">
        <f t="shared" si="7"/>
        <v>23.988580346253315</v>
      </c>
      <c r="T26" s="21">
        <f t="shared" si="8"/>
        <v>1.6102080892255917</v>
      </c>
    </row>
    <row r="27" spans="1:20" x14ac:dyDescent="0.2">
      <c r="A27" s="47">
        <v>10.67</v>
      </c>
      <c r="B27" s="3">
        <v>146.6</v>
      </c>
      <c r="E27">
        <v>4</v>
      </c>
      <c r="F27" s="21">
        <f t="shared" si="9"/>
        <v>138.5</v>
      </c>
      <c r="G27" s="21">
        <f t="shared" si="1"/>
        <v>142</v>
      </c>
      <c r="H27" s="49">
        <f t="shared" si="2"/>
        <v>11</v>
      </c>
      <c r="K27" s="21">
        <v>4</v>
      </c>
      <c r="L27" s="22">
        <f t="shared" ref="L27:M27" si="11">F29</f>
        <v>145.5</v>
      </c>
      <c r="M27" s="25">
        <f t="shared" si="11"/>
        <v>149</v>
      </c>
      <c r="N27" s="54">
        <f t="shared" si="0"/>
        <v>17</v>
      </c>
      <c r="O27" s="21">
        <f t="shared" si="3"/>
        <v>0.4935657260662723</v>
      </c>
      <c r="P27" s="21">
        <f t="shared" si="4"/>
        <v>0.708286932786797</v>
      </c>
      <c r="Q27" s="21">
        <f t="shared" si="5"/>
        <v>0.21472120672052469</v>
      </c>
      <c r="R27" s="53">
        <f t="shared" si="6"/>
        <v>15.030484470436729</v>
      </c>
      <c r="S27" s="21">
        <f t="shared" si="7"/>
        <v>3.8789914211908916</v>
      </c>
      <c r="T27" s="21">
        <f t="shared" si="8"/>
        <v>0.25807494288161043</v>
      </c>
    </row>
    <row r="28" spans="1:20" x14ac:dyDescent="0.2">
      <c r="A28" s="47">
        <v>10.67</v>
      </c>
      <c r="B28" s="3">
        <v>156</v>
      </c>
      <c r="E28">
        <v>5</v>
      </c>
      <c r="F28" s="21">
        <f t="shared" si="9"/>
        <v>142</v>
      </c>
      <c r="G28" s="21">
        <f t="shared" si="1"/>
        <v>145.5</v>
      </c>
      <c r="H28" s="49">
        <f t="shared" si="2"/>
        <v>10</v>
      </c>
      <c r="K28" s="21">
        <v>5</v>
      </c>
      <c r="L28" s="22">
        <f t="shared" ref="L28:M29" si="12">F30</f>
        <v>149</v>
      </c>
      <c r="M28" s="25">
        <f t="shared" si="12"/>
        <v>152.5</v>
      </c>
      <c r="N28" s="54">
        <f t="shared" si="0"/>
        <v>13</v>
      </c>
      <c r="O28" s="21">
        <f t="shared" si="3"/>
        <v>0.708286932786797</v>
      </c>
      <c r="P28" s="21">
        <f t="shared" si="4"/>
        <v>0.86712500275764093</v>
      </c>
      <c r="Q28" s="21">
        <f t="shared" si="5"/>
        <v>0.15883806997084393</v>
      </c>
      <c r="R28" s="53">
        <f t="shared" si="6"/>
        <v>11.118664897959075</v>
      </c>
      <c r="S28" s="21">
        <f t="shared" si="7"/>
        <v>3.5394217661713379</v>
      </c>
      <c r="T28" s="21">
        <f t="shared" si="8"/>
        <v>0.31833154417856668</v>
      </c>
    </row>
    <row r="29" spans="1:20" x14ac:dyDescent="0.2">
      <c r="A29" s="47">
        <v>10.68</v>
      </c>
      <c r="B29" s="3">
        <v>141.4</v>
      </c>
      <c r="E29">
        <v>6</v>
      </c>
      <c r="F29" s="21">
        <f t="shared" si="9"/>
        <v>145.5</v>
      </c>
      <c r="G29" s="21">
        <f t="shared" si="1"/>
        <v>149</v>
      </c>
      <c r="H29" s="49">
        <f t="shared" si="2"/>
        <v>17</v>
      </c>
      <c r="K29" s="21">
        <v>6</v>
      </c>
      <c r="L29" s="22">
        <f t="shared" si="12"/>
        <v>152.5</v>
      </c>
      <c r="M29" s="25">
        <f>G32</f>
        <v>159.5</v>
      </c>
      <c r="N29" s="54">
        <f t="shared" si="0"/>
        <v>9</v>
      </c>
      <c r="O29" s="21">
        <f t="shared" si="3"/>
        <v>0.86712500275764093</v>
      </c>
      <c r="P29" s="21">
        <f t="shared" si="4"/>
        <v>0.98751722885091131</v>
      </c>
      <c r="Q29" s="21">
        <f t="shared" si="5"/>
        <v>0.12039222609327038</v>
      </c>
      <c r="R29" s="53">
        <f t="shared" si="6"/>
        <v>8.4274558265289272</v>
      </c>
      <c r="S29" s="21">
        <f t="shared" si="7"/>
        <v>0.32780683057567389</v>
      </c>
      <c r="T29" s="21">
        <f t="shared" si="8"/>
        <v>3.8897484285087006E-2</v>
      </c>
    </row>
    <row r="30" spans="1:20" x14ac:dyDescent="0.2">
      <c r="A30" s="47">
        <v>10.69</v>
      </c>
      <c r="B30" s="3">
        <v>135.5</v>
      </c>
      <c r="E30">
        <v>7</v>
      </c>
      <c r="F30" s="21">
        <f t="shared" si="9"/>
        <v>149</v>
      </c>
      <c r="G30" s="21">
        <f t="shared" si="1"/>
        <v>152.5</v>
      </c>
      <c r="H30" s="49">
        <f t="shared" si="2"/>
        <v>13</v>
      </c>
      <c r="N30">
        <f>SUM(N24:N29)</f>
        <v>70</v>
      </c>
    </row>
    <row r="31" spans="1:20" x14ac:dyDescent="0.2">
      <c r="A31" s="47">
        <v>10.7</v>
      </c>
      <c r="B31" s="3">
        <v>142.1</v>
      </c>
      <c r="E31">
        <v>8</v>
      </c>
      <c r="F31" s="21">
        <f t="shared" si="9"/>
        <v>152.5</v>
      </c>
      <c r="G31" s="21">
        <f t="shared" si="1"/>
        <v>156</v>
      </c>
      <c r="H31" s="50">
        <f t="shared" si="2"/>
        <v>7</v>
      </c>
      <c r="K31" t="s">
        <v>11</v>
      </c>
      <c r="L31">
        <v>6</v>
      </c>
      <c r="M31" s="4" t="s">
        <v>58</v>
      </c>
      <c r="S31" t="s">
        <v>32</v>
      </c>
      <c r="T31" s="38">
        <f>SUM(T24:T29)</f>
        <v>2.4334842988734819</v>
      </c>
    </row>
    <row r="32" spans="1:20" ht="15" customHeight="1" x14ac:dyDescent="0.2">
      <c r="A32" s="47">
        <v>10.71</v>
      </c>
      <c r="B32" s="3">
        <v>142.69999999999999</v>
      </c>
      <c r="E32">
        <v>9</v>
      </c>
      <c r="F32" s="21">
        <f t="shared" si="9"/>
        <v>156</v>
      </c>
      <c r="G32" s="21">
        <f t="shared" si="1"/>
        <v>159.5</v>
      </c>
      <c r="H32" s="50">
        <f t="shared" si="2"/>
        <v>2</v>
      </c>
      <c r="K32" t="s">
        <v>10</v>
      </c>
      <c r="L32">
        <v>2</v>
      </c>
      <c r="M32" s="4" t="s">
        <v>59</v>
      </c>
      <c r="S32" s="20" t="s">
        <v>33</v>
      </c>
      <c r="T32" s="38">
        <f>CHIINV(L34,L33)</f>
        <v>7.8147279032511792</v>
      </c>
    </row>
    <row r="33" spans="1:20" x14ac:dyDescent="0.2">
      <c r="A33" s="47">
        <v>10.72</v>
      </c>
      <c r="B33" s="3">
        <v>149.6</v>
      </c>
      <c r="K33" t="s">
        <v>21</v>
      </c>
      <c r="L33" s="19">
        <f>L31-L32-1</f>
        <v>3</v>
      </c>
    </row>
    <row r="34" spans="1:20" x14ac:dyDescent="0.2">
      <c r="A34" s="47">
        <v>10.72</v>
      </c>
      <c r="B34" s="3">
        <v>141.19999999999999</v>
      </c>
      <c r="K34" t="s">
        <v>22</v>
      </c>
      <c r="L34" s="26">
        <v>0.05</v>
      </c>
      <c r="M34" s="4" t="s">
        <v>60</v>
      </c>
      <c r="S34" s="7" t="s">
        <v>66</v>
      </c>
    </row>
    <row r="35" spans="1:20" x14ac:dyDescent="0.2">
      <c r="A35" s="47">
        <v>10.73</v>
      </c>
      <c r="B35" s="3">
        <v>139.1</v>
      </c>
      <c r="K35" t="s">
        <v>23</v>
      </c>
      <c r="L35" s="5">
        <f>AVERAGE(B:B)</f>
        <v>145.58285714285719</v>
      </c>
      <c r="M35" s="26">
        <v>145.6</v>
      </c>
    </row>
    <row r="36" spans="1:20" x14ac:dyDescent="0.2">
      <c r="A36" s="47">
        <v>10.73</v>
      </c>
      <c r="B36" s="3">
        <v>147.1</v>
      </c>
      <c r="K36" t="s">
        <v>24</v>
      </c>
      <c r="L36">
        <f>STDEV(B:B)</f>
        <v>6.2092024139157544</v>
      </c>
      <c r="M36" s="26">
        <v>6.2</v>
      </c>
    </row>
    <row r="37" spans="1:20" x14ac:dyDescent="0.2">
      <c r="A37" s="47">
        <v>10.73</v>
      </c>
      <c r="B37" s="3">
        <v>140.4</v>
      </c>
    </row>
    <row r="38" spans="1:20" x14ac:dyDescent="0.2">
      <c r="A38" s="47">
        <v>10.74</v>
      </c>
      <c r="B38" s="3">
        <v>150.4</v>
      </c>
    </row>
    <row r="39" spans="1:20" x14ac:dyDescent="0.2">
      <c r="A39" s="47">
        <v>10.74</v>
      </c>
      <c r="B39" s="3">
        <v>145.30000000000001</v>
      </c>
    </row>
    <row r="40" spans="1:20" x14ac:dyDescent="0.2">
      <c r="A40" s="47">
        <v>10.74</v>
      </c>
      <c r="B40" s="3">
        <v>149.9</v>
      </c>
      <c r="I40" s="5"/>
    </row>
    <row r="41" spans="1:20" x14ac:dyDescent="0.2">
      <c r="A41" s="47">
        <v>10.75</v>
      </c>
      <c r="B41" s="3">
        <v>150.80000000000001</v>
      </c>
      <c r="D41" s="4" t="s">
        <v>64</v>
      </c>
    </row>
    <row r="42" spans="1:20" x14ac:dyDescent="0.2">
      <c r="A42" s="47">
        <v>10.78</v>
      </c>
      <c r="B42" s="3">
        <v>149.30000000000001</v>
      </c>
    </row>
    <row r="43" spans="1:20" x14ac:dyDescent="0.2">
      <c r="A43" s="47">
        <v>10.78</v>
      </c>
      <c r="B43" s="3">
        <v>150.30000000000001</v>
      </c>
      <c r="D43" t="s">
        <v>74</v>
      </c>
      <c r="J43" t="s">
        <v>53</v>
      </c>
    </row>
    <row r="44" spans="1:20" x14ac:dyDescent="0.2">
      <c r="A44" s="47">
        <v>10.8</v>
      </c>
      <c r="B44" s="3">
        <v>151.80000000000001</v>
      </c>
    </row>
    <row r="45" spans="1:20" x14ac:dyDescent="0.2">
      <c r="A45" s="47">
        <v>10.8</v>
      </c>
      <c r="B45" s="3">
        <v>142.4</v>
      </c>
      <c r="K45" s="22"/>
      <c r="L45" s="22" t="s">
        <v>13</v>
      </c>
      <c r="M45" s="22" t="s">
        <v>19</v>
      </c>
      <c r="N45" s="22" t="s">
        <v>20</v>
      </c>
      <c r="O45" s="21" t="s">
        <v>25</v>
      </c>
      <c r="P45" s="21" t="s">
        <v>26</v>
      </c>
      <c r="Q45" s="21" t="s">
        <v>28</v>
      </c>
      <c r="R45" s="21" t="s">
        <v>29</v>
      </c>
      <c r="S45" s="21" t="s">
        <v>30</v>
      </c>
      <c r="T45" s="21" t="s">
        <v>31</v>
      </c>
    </row>
    <row r="46" spans="1:20" x14ac:dyDescent="0.2">
      <c r="A46" s="47">
        <v>10.8</v>
      </c>
      <c r="B46" s="3">
        <v>141.80000000000001</v>
      </c>
      <c r="K46" s="22">
        <v>1</v>
      </c>
      <c r="L46" s="22">
        <v>128</v>
      </c>
      <c r="M46" s="22">
        <v>138.5</v>
      </c>
      <c r="N46" s="22">
        <v>10</v>
      </c>
      <c r="O46" s="21">
        <f>POISSON(L46,$M$35,1)</f>
        <v>7.6038967565780949E-2</v>
      </c>
      <c r="P46" s="21">
        <f>POISSON(M46,$M$35,1)</f>
        <v>0.28117660447235965</v>
      </c>
      <c r="Q46" s="21">
        <f>P46-O46</f>
        <v>0.20513763690657871</v>
      </c>
      <c r="R46" s="21">
        <f>Q46*$F$17</f>
        <v>14.35963458346051</v>
      </c>
      <c r="S46" s="21">
        <f>(R46-N46)^2</f>
        <v>19.006413701304893</v>
      </c>
      <c r="T46" s="21">
        <f>S46/R46</f>
        <v>1.323600095172099</v>
      </c>
    </row>
    <row r="47" spans="1:20" x14ac:dyDescent="0.2">
      <c r="A47" s="47">
        <v>10.81</v>
      </c>
      <c r="B47" s="3">
        <v>157</v>
      </c>
      <c r="K47" s="22">
        <v>2</v>
      </c>
      <c r="L47" s="22">
        <v>138.5</v>
      </c>
      <c r="M47" s="22">
        <v>142</v>
      </c>
      <c r="N47" s="22">
        <v>11</v>
      </c>
      <c r="O47" s="21">
        <f t="shared" ref="O47:O51" si="13">POISSON(L47,$M$35,1)</f>
        <v>0.28117660447235965</v>
      </c>
      <c r="P47" s="21">
        <f t="shared" ref="P47:P51" si="14">POISSON(M47,$M$35,1)</f>
        <v>0.40363227249696876</v>
      </c>
      <c r="Q47" s="21">
        <f t="shared" ref="Q47:Q51" si="15">P47-O47</f>
        <v>0.12245566802460911</v>
      </c>
      <c r="R47" s="21">
        <f t="shared" ref="R47:R51" si="16">Q47*$F$17</f>
        <v>8.5718967617226376</v>
      </c>
      <c r="S47" s="21">
        <f t="shared" ref="S47:S51" si="17">(R47-N47)^2</f>
        <v>5.8956853357330141</v>
      </c>
      <c r="T47" s="21">
        <f t="shared" ref="T47:T51" si="18">S47/R47</f>
        <v>0.68779238710152135</v>
      </c>
    </row>
    <row r="48" spans="1:20" x14ac:dyDescent="0.2">
      <c r="A48" s="47">
        <v>10.81</v>
      </c>
      <c r="B48" s="3">
        <v>153.1</v>
      </c>
      <c r="K48" s="22">
        <v>3</v>
      </c>
      <c r="L48" s="22">
        <v>142</v>
      </c>
      <c r="M48" s="22">
        <v>145.5</v>
      </c>
      <c r="N48" s="22">
        <v>10</v>
      </c>
      <c r="O48" s="21">
        <f t="shared" si="13"/>
        <v>0.40363227249696876</v>
      </c>
      <c r="P48" s="21">
        <f t="shared" si="14"/>
        <v>0.502208860362372</v>
      </c>
      <c r="Q48" s="21">
        <f t="shared" si="15"/>
        <v>9.8576587865403242E-2</v>
      </c>
      <c r="R48" s="21">
        <f t="shared" si="16"/>
        <v>6.9003611505782274</v>
      </c>
      <c r="S48" s="21">
        <f t="shared" si="17"/>
        <v>9.6077609968447302</v>
      </c>
      <c r="T48" s="21">
        <f t="shared" si="18"/>
        <v>1.3923562531273646</v>
      </c>
    </row>
    <row r="49" spans="1:20" x14ac:dyDescent="0.2">
      <c r="A49" s="47">
        <v>10.82</v>
      </c>
      <c r="B49" s="3">
        <v>129.80000000000001</v>
      </c>
      <c r="K49" s="22">
        <v>4</v>
      </c>
      <c r="L49" s="22">
        <v>145.5</v>
      </c>
      <c r="M49" s="22">
        <v>149</v>
      </c>
      <c r="N49" s="22">
        <v>17</v>
      </c>
      <c r="O49" s="21">
        <f t="shared" si="13"/>
        <v>0.502208860362372</v>
      </c>
      <c r="P49" s="21">
        <f t="shared" si="14"/>
        <v>0.6313928483930551</v>
      </c>
      <c r="Q49" s="21">
        <f t="shared" si="15"/>
        <v>0.12918398803068309</v>
      </c>
      <c r="R49" s="21">
        <f t="shared" si="16"/>
        <v>9.0428791621478162</v>
      </c>
      <c r="S49" s="21">
        <f t="shared" si="17"/>
        <v>63.315772028181442</v>
      </c>
      <c r="T49" s="21">
        <f t="shared" si="18"/>
        <v>7.0017270929829634</v>
      </c>
    </row>
    <row r="50" spans="1:20" x14ac:dyDescent="0.2">
      <c r="A50" s="47">
        <v>10.82</v>
      </c>
      <c r="B50" s="3">
        <v>151.5</v>
      </c>
      <c r="K50" s="22">
        <v>5</v>
      </c>
      <c r="L50" s="22">
        <v>149</v>
      </c>
      <c r="M50" s="22">
        <v>152.5</v>
      </c>
      <c r="N50" s="22">
        <v>13</v>
      </c>
      <c r="O50" s="21">
        <f t="shared" si="13"/>
        <v>0.6313928483930551</v>
      </c>
      <c r="P50" s="21">
        <f t="shared" si="14"/>
        <v>0.71941966754159892</v>
      </c>
      <c r="Q50" s="21">
        <f t="shared" si="15"/>
        <v>8.8026819148543822E-2</v>
      </c>
      <c r="R50" s="21">
        <f t="shared" si="16"/>
        <v>6.1618773403980676</v>
      </c>
      <c r="S50" s="21">
        <f t="shared" si="17"/>
        <v>46.759921507761405</v>
      </c>
      <c r="T50" s="21">
        <f t="shared" si="18"/>
        <v>7.5885836287582826</v>
      </c>
    </row>
    <row r="51" spans="1:20" x14ac:dyDescent="0.2">
      <c r="A51" s="47">
        <v>10.84</v>
      </c>
      <c r="B51" s="3">
        <v>155.19999999999999</v>
      </c>
      <c r="K51" s="22">
        <v>6</v>
      </c>
      <c r="L51" s="22">
        <v>152.5</v>
      </c>
      <c r="M51" s="22">
        <v>159.5</v>
      </c>
      <c r="N51" s="22">
        <v>9</v>
      </c>
      <c r="O51" s="21">
        <f t="shared" si="13"/>
        <v>0.71941966754159892</v>
      </c>
      <c r="P51" s="21">
        <f t="shared" si="14"/>
        <v>0.87450054534357391</v>
      </c>
      <c r="Q51" s="21">
        <f t="shared" si="15"/>
        <v>0.15508087780197499</v>
      </c>
      <c r="R51" s="21">
        <f t="shared" si="16"/>
        <v>10.855661446138249</v>
      </c>
      <c r="S51" s="21">
        <f t="shared" si="17"/>
        <v>3.4434794026838995</v>
      </c>
      <c r="T51" s="21">
        <f t="shared" si="18"/>
        <v>0.31720585795431833</v>
      </c>
    </row>
    <row r="52" spans="1:20" x14ac:dyDescent="0.2">
      <c r="A52" s="47">
        <v>10.86</v>
      </c>
      <c r="B52" s="3">
        <v>152.80000000000001</v>
      </c>
    </row>
    <row r="53" spans="1:20" x14ac:dyDescent="0.2">
      <c r="A53" s="47">
        <v>10.86</v>
      </c>
      <c r="B53" s="3">
        <v>146</v>
      </c>
      <c r="K53" t="s">
        <v>11</v>
      </c>
      <c r="L53">
        <v>6</v>
      </c>
      <c r="M53" s="4" t="s">
        <v>58</v>
      </c>
      <c r="S53" t="s">
        <v>32</v>
      </c>
      <c r="T53" s="38">
        <f>SUM(T46:T51)</f>
        <v>18.311265315096549</v>
      </c>
    </row>
    <row r="54" spans="1:20" x14ac:dyDescent="0.2">
      <c r="A54" s="47">
        <v>10.87</v>
      </c>
      <c r="B54" s="3">
        <v>155.9</v>
      </c>
      <c r="K54" t="s">
        <v>10</v>
      </c>
      <c r="L54">
        <v>1</v>
      </c>
      <c r="M54" s="4" t="s">
        <v>65</v>
      </c>
      <c r="S54" s="20" t="s">
        <v>33</v>
      </c>
      <c r="T54" s="38">
        <f>CHIINV(L56,L55)</f>
        <v>9.4877290367811575</v>
      </c>
    </row>
    <row r="55" spans="1:20" x14ac:dyDescent="0.2">
      <c r="A55" s="47">
        <v>10.88</v>
      </c>
      <c r="B55" s="3">
        <v>147.5</v>
      </c>
      <c r="K55" t="s">
        <v>21</v>
      </c>
      <c r="L55" s="19">
        <f>L53-L54-1</f>
        <v>4</v>
      </c>
    </row>
    <row r="56" spans="1:20" x14ac:dyDescent="0.2">
      <c r="A56" s="47">
        <v>10.88</v>
      </c>
      <c r="B56" s="3">
        <v>147.5</v>
      </c>
      <c r="K56" t="s">
        <v>22</v>
      </c>
      <c r="L56" s="26">
        <v>0.05</v>
      </c>
      <c r="M56" s="4" t="s">
        <v>60</v>
      </c>
      <c r="S56" s="7" t="s">
        <v>57</v>
      </c>
    </row>
    <row r="57" spans="1:20" x14ac:dyDescent="0.2">
      <c r="A57" s="47">
        <v>10.89</v>
      </c>
      <c r="B57" s="3">
        <v>148.69999999999999</v>
      </c>
    </row>
    <row r="58" spans="1:20" x14ac:dyDescent="0.2">
      <c r="A58" s="47">
        <v>10.89</v>
      </c>
      <c r="B58" s="3">
        <v>146.80000000000001</v>
      </c>
    </row>
    <row r="59" spans="1:20" x14ac:dyDescent="0.2">
      <c r="A59" s="47">
        <v>10.9</v>
      </c>
      <c r="B59" s="3">
        <v>148.69999999999999</v>
      </c>
    </row>
    <row r="60" spans="1:20" x14ac:dyDescent="0.2">
      <c r="A60" s="47">
        <v>10.91</v>
      </c>
      <c r="B60" s="3">
        <v>139.19999999999999</v>
      </c>
    </row>
    <row r="61" spans="1:20" x14ac:dyDescent="0.2">
      <c r="A61" s="47">
        <v>10.91</v>
      </c>
      <c r="B61" s="3">
        <v>137.5</v>
      </c>
    </row>
    <row r="62" spans="1:20" x14ac:dyDescent="0.2">
      <c r="A62" s="47">
        <v>10.92</v>
      </c>
      <c r="B62" s="3">
        <v>150.69999999999999</v>
      </c>
    </row>
    <row r="63" spans="1:20" x14ac:dyDescent="0.2">
      <c r="A63" s="47">
        <v>10.93</v>
      </c>
      <c r="B63" s="3">
        <v>144.80000000000001</v>
      </c>
    </row>
    <row r="64" spans="1:20" x14ac:dyDescent="0.2">
      <c r="A64" s="47">
        <v>10.94</v>
      </c>
      <c r="B64" s="3">
        <v>151.19999999999999</v>
      </c>
    </row>
    <row r="65" spans="1:2" x14ac:dyDescent="0.2">
      <c r="A65" s="47">
        <v>10.95</v>
      </c>
      <c r="B65" s="3">
        <v>143</v>
      </c>
    </row>
    <row r="66" spans="1:2" x14ac:dyDescent="0.2">
      <c r="A66" s="47">
        <v>10.95</v>
      </c>
      <c r="B66" s="3">
        <v>151.1</v>
      </c>
    </row>
    <row r="67" spans="1:2" x14ac:dyDescent="0.2">
      <c r="A67" s="47">
        <v>10.96</v>
      </c>
      <c r="B67" s="3">
        <v>148.69999999999999</v>
      </c>
    </row>
    <row r="68" spans="1:2" x14ac:dyDescent="0.2">
      <c r="A68" s="47">
        <v>10.97</v>
      </c>
      <c r="B68" s="3">
        <v>144</v>
      </c>
    </row>
    <row r="69" spans="1:2" x14ac:dyDescent="0.2">
      <c r="A69" s="47">
        <v>10.97</v>
      </c>
      <c r="B69" s="3">
        <v>152.80000000000001</v>
      </c>
    </row>
    <row r="70" spans="1:2" x14ac:dyDescent="0.2">
      <c r="A70" s="47">
        <v>10.98</v>
      </c>
      <c r="B70" s="3">
        <v>148.5</v>
      </c>
    </row>
    <row r="71" spans="1:2" x14ac:dyDescent="0.2">
      <c r="A71" s="47">
        <v>10.98</v>
      </c>
      <c r="B71" s="3">
        <v>137.4</v>
      </c>
    </row>
    <row r="72" spans="1:2" x14ac:dyDescent="0.2">
      <c r="A72" s="47">
        <v>10.99</v>
      </c>
      <c r="B72" s="3">
        <v>158.19999999999999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72"/>
  <sheetViews>
    <sheetView tabSelected="1" topLeftCell="A4" zoomScaleNormal="100" workbookViewId="0">
      <selection activeCell="C23" sqref="C23"/>
    </sheetView>
  </sheetViews>
  <sheetFormatPr defaultRowHeight="12" x14ac:dyDescent="0.2"/>
  <cols>
    <col min="1" max="2" width="6.42578125" style="47" bestFit="1" customWidth="1"/>
    <col min="10" max="10" width="12.85546875" customWidth="1"/>
    <col min="11" max="11" width="12.5703125" customWidth="1"/>
    <col min="12" max="12" width="17" customWidth="1"/>
    <col min="13" max="13" width="12.85546875" customWidth="1"/>
  </cols>
  <sheetData>
    <row r="2" spans="1:20" x14ac:dyDescent="0.2">
      <c r="A2" s="48" t="s">
        <v>62</v>
      </c>
      <c r="B2" s="48" t="s">
        <v>63</v>
      </c>
      <c r="C2" s="39" t="s">
        <v>71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20" x14ac:dyDescent="0.2">
      <c r="A3" s="47">
        <v>10.52</v>
      </c>
      <c r="B3" s="3">
        <v>142.19999999999999</v>
      </c>
      <c r="C3" s="39" t="s">
        <v>72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20" x14ac:dyDescent="0.2">
      <c r="A4" s="47">
        <v>10.53</v>
      </c>
      <c r="B4" s="3">
        <v>138.9</v>
      </c>
      <c r="C4" s="40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20" x14ac:dyDescent="0.2">
      <c r="A5" s="47">
        <v>10.53</v>
      </c>
      <c r="B5" s="3">
        <v>140.30000000000001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20" x14ac:dyDescent="0.2">
      <c r="A6" s="47">
        <v>10.53</v>
      </c>
      <c r="B6" s="3">
        <v>137.4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</row>
    <row r="7" spans="1:20" x14ac:dyDescent="0.2">
      <c r="A7" s="47">
        <v>10.53</v>
      </c>
      <c r="B7" s="3">
        <v>143.1</v>
      </c>
      <c r="C7" s="4" t="s">
        <v>77</v>
      </c>
      <c r="D7" s="57"/>
      <c r="E7" s="57"/>
      <c r="F7" s="57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20" x14ac:dyDescent="0.2">
      <c r="A8" s="47">
        <v>10.54</v>
      </c>
      <c r="B8" s="3">
        <v>133.6</v>
      </c>
      <c r="C8" s="57" t="s">
        <v>76</v>
      </c>
      <c r="D8" s="57"/>
      <c r="E8" s="58"/>
      <c r="F8" s="57"/>
      <c r="G8" s="57"/>
      <c r="H8" s="57"/>
      <c r="I8" s="57" t="s">
        <v>53</v>
      </c>
      <c r="J8" s="57"/>
      <c r="K8" s="57"/>
      <c r="L8" s="57"/>
    </row>
    <row r="9" spans="1:20" x14ac:dyDescent="0.2">
      <c r="A9" s="47">
        <v>10.54</v>
      </c>
      <c r="B9" s="3">
        <v>141.80000000000001</v>
      </c>
    </row>
    <row r="10" spans="1:20" x14ac:dyDescent="0.2">
      <c r="A10" s="47">
        <v>10.56</v>
      </c>
      <c r="B10" s="3">
        <v>137.5</v>
      </c>
    </row>
    <row r="11" spans="1:20" x14ac:dyDescent="0.2">
      <c r="A11" s="47">
        <v>10.56</v>
      </c>
      <c r="B11" s="3">
        <v>154.5</v>
      </c>
    </row>
    <row r="12" spans="1:20" x14ac:dyDescent="0.2">
      <c r="A12" s="47">
        <v>10.56</v>
      </c>
      <c r="B12" s="3">
        <v>148.6</v>
      </c>
      <c r="Q12" s="6" t="s">
        <v>2</v>
      </c>
      <c r="R12" s="6"/>
      <c r="S12" s="6"/>
      <c r="T12" s="6"/>
    </row>
    <row r="13" spans="1:20" x14ac:dyDescent="0.2">
      <c r="A13" s="47">
        <v>10.57</v>
      </c>
      <c r="B13" s="3">
        <v>146</v>
      </c>
      <c r="E13" s="5"/>
      <c r="Q13" s="6" t="s">
        <v>3</v>
      </c>
      <c r="R13" s="6"/>
      <c r="S13" s="6"/>
      <c r="T13" s="6"/>
    </row>
    <row r="14" spans="1:20" x14ac:dyDescent="0.2">
      <c r="A14" s="47">
        <v>10.57</v>
      </c>
      <c r="B14" s="3">
        <v>146.5</v>
      </c>
      <c r="E14" s="11" t="s">
        <v>9</v>
      </c>
      <c r="F14">
        <f>COUNT(B2:B125)</f>
        <v>70</v>
      </c>
      <c r="G14" s="11" t="s">
        <v>11</v>
      </c>
      <c r="H14">
        <f>SQRT(F14)</f>
        <v>8.3666002653407556</v>
      </c>
      <c r="I14" s="27">
        <v>16</v>
      </c>
      <c r="J14" s="24" t="s">
        <v>42</v>
      </c>
      <c r="K14" s="5">
        <f>AVERAGE(B2:B125)</f>
        <v>145.58285714285719</v>
      </c>
      <c r="L14" s="26">
        <v>145.6</v>
      </c>
      <c r="N14" t="s">
        <v>22</v>
      </c>
      <c r="O14" s="26">
        <v>0.05</v>
      </c>
      <c r="Q14" s="6" t="s">
        <v>4</v>
      </c>
      <c r="R14" s="6"/>
      <c r="S14" s="6"/>
      <c r="T14" s="6"/>
    </row>
    <row r="15" spans="1:20" x14ac:dyDescent="0.2">
      <c r="A15" s="47">
        <v>10.58</v>
      </c>
      <c r="B15" s="3">
        <v>136.69999999999999</v>
      </c>
      <c r="E15" s="11" t="s">
        <v>16</v>
      </c>
      <c r="F15" s="12">
        <f>MAX(B2:B125)</f>
        <v>158.19999999999999</v>
      </c>
      <c r="G15" s="11" t="s">
        <v>12</v>
      </c>
      <c r="H15">
        <f>F17/I14</f>
        <v>1.7749999999999986</v>
      </c>
      <c r="I15" s="27">
        <v>1.8</v>
      </c>
      <c r="J15" t="s">
        <v>43</v>
      </c>
      <c r="K15">
        <f>STDEV(B2:B125)</f>
        <v>6.2092024139157544</v>
      </c>
      <c r="L15" s="26">
        <v>6.2</v>
      </c>
      <c r="N15" t="s">
        <v>8</v>
      </c>
      <c r="O15">
        <f>1-O14</f>
        <v>0.95</v>
      </c>
      <c r="Q15" s="6"/>
      <c r="R15" s="6"/>
      <c r="S15" s="6"/>
      <c r="T15" s="6"/>
    </row>
    <row r="16" spans="1:20" x14ac:dyDescent="0.2">
      <c r="A16" s="47">
        <v>10.58</v>
      </c>
      <c r="B16" s="3">
        <v>146.19999999999999</v>
      </c>
      <c r="E16" s="11" t="s">
        <v>17</v>
      </c>
      <c r="F16" s="12">
        <f>MIN(B2:B125)</f>
        <v>129.80000000000001</v>
      </c>
      <c r="G16" s="11" t="s">
        <v>18</v>
      </c>
      <c r="H16">
        <f>F16-(I15/2)</f>
        <v>128.9</v>
      </c>
      <c r="I16" s="27">
        <v>129.69999999999999</v>
      </c>
    </row>
    <row r="17" spans="1:13" x14ac:dyDescent="0.2">
      <c r="A17" s="47">
        <v>10.58</v>
      </c>
      <c r="B17" s="3">
        <v>149.6</v>
      </c>
      <c r="E17" s="11" t="s">
        <v>78</v>
      </c>
      <c r="F17" s="12">
        <f>F15-F16</f>
        <v>28.399999999999977</v>
      </c>
    </row>
    <row r="18" spans="1:13" x14ac:dyDescent="0.2">
      <c r="A18" s="47">
        <v>10.58</v>
      </c>
      <c r="B18" s="3">
        <v>133</v>
      </c>
    </row>
    <row r="19" spans="1:13" x14ac:dyDescent="0.2">
      <c r="A19" s="47">
        <v>10.61</v>
      </c>
      <c r="B19" s="3">
        <v>151.19999999999999</v>
      </c>
    </row>
    <row r="20" spans="1:13" x14ac:dyDescent="0.2">
      <c r="A20" s="47">
        <v>10.61</v>
      </c>
      <c r="B20" s="3">
        <v>146</v>
      </c>
      <c r="E20" s="21"/>
      <c r="F20" s="25" t="s">
        <v>13</v>
      </c>
      <c r="G20" s="25" t="s">
        <v>19</v>
      </c>
      <c r="H20" s="25" t="s">
        <v>20</v>
      </c>
      <c r="I20" s="25" t="s">
        <v>39</v>
      </c>
      <c r="J20" s="55" t="s">
        <v>40</v>
      </c>
      <c r="K20" s="25" t="s">
        <v>41</v>
      </c>
      <c r="L20" s="55" t="s">
        <v>44</v>
      </c>
      <c r="M20" s="25" t="s">
        <v>45</v>
      </c>
    </row>
    <row r="21" spans="1:13" x14ac:dyDescent="0.2">
      <c r="A21" s="47">
        <v>10.64</v>
      </c>
      <c r="B21" s="3">
        <v>147</v>
      </c>
      <c r="E21" s="21">
        <v>1</v>
      </c>
      <c r="F21" s="21">
        <f>I16</f>
        <v>129.69999999999999</v>
      </c>
      <c r="G21" s="21">
        <f>F21+$I$15</f>
        <v>131.5</v>
      </c>
      <c r="H21" s="23">
        <f>COUNTIF(B:B,"&lt;="&amp;G21)-COUNTIF(B:B,"&lt;="&amp;F21)</f>
        <v>1</v>
      </c>
      <c r="I21" s="21">
        <f>H21</f>
        <v>1</v>
      </c>
      <c r="J21" s="53">
        <f>I21/$F$14</f>
        <v>1.4285714285714285E-2</v>
      </c>
      <c r="K21" s="21">
        <f>(F21+G21)/2</f>
        <v>130.6</v>
      </c>
      <c r="L21" s="53">
        <f>NORMDIST(K21,$L$14,$L$15,1)</f>
        <v>7.774032506435615E-3</v>
      </c>
      <c r="M21" s="21">
        <f>ABS(L21-J21)</f>
        <v>6.5116817792786703E-3</v>
      </c>
    </row>
    <row r="22" spans="1:13" x14ac:dyDescent="0.2">
      <c r="A22" s="47">
        <v>10.64</v>
      </c>
      <c r="B22" s="3">
        <v>143.4</v>
      </c>
      <c r="E22" s="21">
        <v>2</v>
      </c>
      <c r="F22" s="21">
        <f>G21</f>
        <v>131.5</v>
      </c>
      <c r="G22" s="21">
        <f>F22+$I$15</f>
        <v>133.30000000000001</v>
      </c>
      <c r="H22" s="23">
        <f t="shared" ref="H22:H36" si="0">COUNTIF(B:B,"&lt;="&amp;G22)-COUNTIF(B:B,"&lt;="&amp;F22)</f>
        <v>1</v>
      </c>
      <c r="I22" s="21">
        <f>I21+H22</f>
        <v>2</v>
      </c>
      <c r="J22" s="53">
        <f t="shared" ref="J22:J36" si="1">I22/$F$14</f>
        <v>2.8571428571428571E-2</v>
      </c>
      <c r="K22" s="21">
        <f t="shared" ref="K22:K36" si="2">(F22+G22)/2</f>
        <v>132.4</v>
      </c>
      <c r="L22" s="53">
        <f t="shared" ref="L22:L36" si="3">NORMDIST(K22,$L$14,$L$15,1)</f>
        <v>1.6625795810478041E-2</v>
      </c>
      <c r="M22" s="21">
        <f t="shared" ref="M22:M36" si="4">ABS(L22-J22)</f>
        <v>1.1945632760950529E-2</v>
      </c>
    </row>
    <row r="23" spans="1:13" x14ac:dyDescent="0.2">
      <c r="A23" s="47">
        <v>10.64</v>
      </c>
      <c r="B23" s="3">
        <v>142</v>
      </c>
      <c r="E23" s="21">
        <v>3</v>
      </c>
      <c r="F23" s="21">
        <f t="shared" ref="F23:F31" si="5">G22</f>
        <v>133.30000000000001</v>
      </c>
      <c r="G23" s="21">
        <f>F23+$I$15</f>
        <v>135.10000000000002</v>
      </c>
      <c r="H23" s="23">
        <f t="shared" si="0"/>
        <v>1</v>
      </c>
      <c r="I23" s="21">
        <f t="shared" ref="I23:I36" si="6">I22+H23</f>
        <v>3</v>
      </c>
      <c r="J23" s="53">
        <f t="shared" si="1"/>
        <v>4.2857142857142858E-2</v>
      </c>
      <c r="K23" s="21">
        <f t="shared" si="2"/>
        <v>134.20000000000002</v>
      </c>
      <c r="L23" s="53">
        <f t="shared" si="3"/>
        <v>3.2978949629706537E-2</v>
      </c>
      <c r="M23" s="21">
        <f t="shared" si="4"/>
        <v>9.8781932274363202E-3</v>
      </c>
    </row>
    <row r="24" spans="1:13" x14ac:dyDescent="0.2">
      <c r="A24" s="47">
        <v>10.64</v>
      </c>
      <c r="B24" s="3">
        <v>147.30000000000001</v>
      </c>
      <c r="E24" s="21">
        <v>4</v>
      </c>
      <c r="F24" s="21">
        <f t="shared" si="5"/>
        <v>135.10000000000002</v>
      </c>
      <c r="G24" s="21">
        <f>F24+$I$15</f>
        <v>136.90000000000003</v>
      </c>
      <c r="H24" s="23">
        <f t="shared" si="0"/>
        <v>2</v>
      </c>
      <c r="I24" s="21">
        <f t="shared" si="6"/>
        <v>5</v>
      </c>
      <c r="J24" s="53">
        <f t="shared" si="1"/>
        <v>7.1428571428571425E-2</v>
      </c>
      <c r="K24" s="21">
        <f t="shared" si="2"/>
        <v>136.00000000000003</v>
      </c>
      <c r="L24" s="53">
        <f t="shared" si="3"/>
        <v>6.0764562977712454E-2</v>
      </c>
      <c r="M24" s="21">
        <f t="shared" si="4"/>
        <v>1.0664008450858971E-2</v>
      </c>
    </row>
    <row r="25" spans="1:13" x14ac:dyDescent="0.2">
      <c r="A25" s="47">
        <v>10.65</v>
      </c>
      <c r="B25" s="3">
        <v>139.5</v>
      </c>
      <c r="E25" s="21">
        <v>5</v>
      </c>
      <c r="F25" s="21">
        <f t="shared" si="5"/>
        <v>136.90000000000003</v>
      </c>
      <c r="G25" s="21">
        <f>F25+$I$15</f>
        <v>138.70000000000005</v>
      </c>
      <c r="H25" s="23">
        <f t="shared" si="0"/>
        <v>5</v>
      </c>
      <c r="I25" s="21">
        <f t="shared" si="6"/>
        <v>10</v>
      </c>
      <c r="J25" s="53">
        <f t="shared" si="1"/>
        <v>0.14285714285714285</v>
      </c>
      <c r="K25" s="21">
        <f t="shared" si="2"/>
        <v>137.80000000000004</v>
      </c>
      <c r="L25" s="53">
        <f t="shared" si="3"/>
        <v>0.10418421240985598</v>
      </c>
      <c r="M25" s="21">
        <f t="shared" si="4"/>
        <v>3.8672930447286868E-2</v>
      </c>
    </row>
    <row r="26" spans="1:13" x14ac:dyDescent="0.2">
      <c r="A26" s="47">
        <v>10.65</v>
      </c>
      <c r="B26" s="3">
        <v>137.19999999999999</v>
      </c>
      <c r="E26" s="21">
        <v>6</v>
      </c>
      <c r="F26" s="21">
        <f t="shared" si="5"/>
        <v>138.70000000000005</v>
      </c>
      <c r="G26" s="21">
        <f>F26+$I$15</f>
        <v>140.50000000000006</v>
      </c>
      <c r="H26" s="23">
        <f t="shared" si="0"/>
        <v>6</v>
      </c>
      <c r="I26" s="21">
        <f t="shared" si="6"/>
        <v>16</v>
      </c>
      <c r="J26" s="53">
        <f t="shared" si="1"/>
        <v>0.22857142857142856</v>
      </c>
      <c r="K26" s="21">
        <f t="shared" si="2"/>
        <v>139.60000000000005</v>
      </c>
      <c r="L26" s="53">
        <f t="shared" si="3"/>
        <v>0.16658663447947752</v>
      </c>
      <c r="M26" s="21">
        <f t="shared" si="4"/>
        <v>6.198479409195104E-2</v>
      </c>
    </row>
    <row r="27" spans="1:13" x14ac:dyDescent="0.2">
      <c r="A27" s="47">
        <v>10.67</v>
      </c>
      <c r="B27" s="3">
        <v>146.6</v>
      </c>
      <c r="E27" s="21">
        <v>7</v>
      </c>
      <c r="F27" s="21">
        <f t="shared" si="5"/>
        <v>140.50000000000006</v>
      </c>
      <c r="G27" s="21">
        <f>F27+$I$15</f>
        <v>142.30000000000007</v>
      </c>
      <c r="H27" s="23">
        <f t="shared" si="0"/>
        <v>7</v>
      </c>
      <c r="I27" s="21">
        <f t="shared" si="6"/>
        <v>23</v>
      </c>
      <c r="J27" s="53">
        <f t="shared" si="1"/>
        <v>0.32857142857142857</v>
      </c>
      <c r="K27" s="21">
        <f t="shared" si="2"/>
        <v>141.40000000000006</v>
      </c>
      <c r="L27" s="53">
        <f t="shared" si="3"/>
        <v>0.24906996078428334</v>
      </c>
      <c r="M27" s="21">
        <f t="shared" si="4"/>
        <v>7.950146778714523E-2</v>
      </c>
    </row>
    <row r="28" spans="1:13" x14ac:dyDescent="0.2">
      <c r="A28" s="47">
        <v>10.67</v>
      </c>
      <c r="B28" s="3">
        <v>156</v>
      </c>
      <c r="E28" s="21">
        <v>8</v>
      </c>
      <c r="F28" s="21">
        <f t="shared" si="5"/>
        <v>142.30000000000007</v>
      </c>
      <c r="G28" s="21">
        <f>F28+$I$15</f>
        <v>144.10000000000008</v>
      </c>
      <c r="H28" s="23">
        <f t="shared" si="0"/>
        <v>6</v>
      </c>
      <c r="I28" s="21">
        <f t="shared" si="6"/>
        <v>29</v>
      </c>
      <c r="J28" s="53">
        <f t="shared" si="1"/>
        <v>0.41428571428571431</v>
      </c>
      <c r="K28" s="21">
        <f t="shared" si="2"/>
        <v>143.20000000000007</v>
      </c>
      <c r="L28" s="53">
        <f t="shared" si="3"/>
        <v>0.3493422828227053</v>
      </c>
      <c r="M28" s="21">
        <f t="shared" si="4"/>
        <v>6.4943431463009016E-2</v>
      </c>
    </row>
    <row r="29" spans="1:13" x14ac:dyDescent="0.2">
      <c r="A29" s="47">
        <v>10.68</v>
      </c>
      <c r="B29" s="3">
        <v>141.4</v>
      </c>
      <c r="E29" s="21">
        <v>9</v>
      </c>
      <c r="F29" s="21">
        <f t="shared" si="5"/>
        <v>144.10000000000008</v>
      </c>
      <c r="G29" s="21">
        <f>F29+$I$15</f>
        <v>145.90000000000009</v>
      </c>
      <c r="H29" s="23">
        <f t="shared" si="0"/>
        <v>2</v>
      </c>
      <c r="I29" s="21">
        <f t="shared" si="6"/>
        <v>31</v>
      </c>
      <c r="J29" s="53">
        <f t="shared" si="1"/>
        <v>0.44285714285714284</v>
      </c>
      <c r="K29" s="21">
        <f t="shared" si="2"/>
        <v>145.00000000000009</v>
      </c>
      <c r="L29" s="53">
        <f t="shared" si="3"/>
        <v>0.4614528591435067</v>
      </c>
      <c r="M29" s="21">
        <f t="shared" si="4"/>
        <v>1.8595716286363861E-2</v>
      </c>
    </row>
    <row r="30" spans="1:13" x14ac:dyDescent="0.2">
      <c r="A30" s="47">
        <v>10.69</v>
      </c>
      <c r="B30" s="3">
        <v>135.5</v>
      </c>
      <c r="E30" s="21">
        <v>10</v>
      </c>
      <c r="F30" s="21">
        <f t="shared" si="5"/>
        <v>145.90000000000009</v>
      </c>
      <c r="G30" s="21">
        <f>F30+$I$15</f>
        <v>147.7000000000001</v>
      </c>
      <c r="H30" s="23">
        <f t="shared" si="0"/>
        <v>12</v>
      </c>
      <c r="I30" s="21">
        <f t="shared" si="6"/>
        <v>43</v>
      </c>
      <c r="J30" s="53">
        <f t="shared" si="1"/>
        <v>0.61428571428571432</v>
      </c>
      <c r="K30" s="21">
        <f t="shared" si="2"/>
        <v>146.8000000000001</v>
      </c>
      <c r="L30" s="53">
        <f t="shared" si="3"/>
        <v>0.57673524251800434</v>
      </c>
      <c r="M30" s="21">
        <f t="shared" si="4"/>
        <v>3.7550471767709981E-2</v>
      </c>
    </row>
    <row r="31" spans="1:13" x14ac:dyDescent="0.2">
      <c r="A31" s="47">
        <v>10.7</v>
      </c>
      <c r="B31" s="3">
        <v>142.1</v>
      </c>
      <c r="E31" s="21">
        <v>11</v>
      </c>
      <c r="F31" s="21">
        <f t="shared" si="5"/>
        <v>147.7000000000001</v>
      </c>
      <c r="G31" s="21">
        <f>F31+$I$15</f>
        <v>149.50000000000011</v>
      </c>
      <c r="H31" s="23">
        <f t="shared" si="0"/>
        <v>6</v>
      </c>
      <c r="I31" s="21">
        <f t="shared" si="6"/>
        <v>49</v>
      </c>
      <c r="J31" s="53">
        <f t="shared" si="1"/>
        <v>0.7</v>
      </c>
      <c r="K31" s="21">
        <f t="shared" si="2"/>
        <v>148.60000000000011</v>
      </c>
      <c r="L31" s="53">
        <f t="shared" si="3"/>
        <v>0.68576127720686342</v>
      </c>
      <c r="M31" s="21">
        <f t="shared" si="4"/>
        <v>1.4238722793136538E-2</v>
      </c>
    </row>
    <row r="32" spans="1:13" x14ac:dyDescent="0.2">
      <c r="A32" s="47">
        <v>10.71</v>
      </c>
      <c r="B32" s="3">
        <v>142.69999999999999</v>
      </c>
      <c r="E32" s="21">
        <v>12</v>
      </c>
      <c r="F32" s="21">
        <f t="shared" ref="F32:F36" si="7">G31</f>
        <v>149.50000000000011</v>
      </c>
      <c r="G32" s="21">
        <f t="shared" ref="G32:G36" si="8">F32+$I$15</f>
        <v>151.30000000000013</v>
      </c>
      <c r="H32" s="23">
        <f t="shared" si="0"/>
        <v>10</v>
      </c>
      <c r="I32" s="21">
        <f t="shared" si="6"/>
        <v>59</v>
      </c>
      <c r="J32" s="53">
        <f t="shared" si="1"/>
        <v>0.84285714285714286</v>
      </c>
      <c r="K32" s="21">
        <f t="shared" si="2"/>
        <v>150.40000000000012</v>
      </c>
      <c r="L32" s="53">
        <f t="shared" si="3"/>
        <v>0.78059182852671583</v>
      </c>
      <c r="M32" s="21">
        <f t="shared" si="4"/>
        <v>6.2265314330427035E-2</v>
      </c>
    </row>
    <row r="33" spans="1:14" x14ac:dyDescent="0.2">
      <c r="A33" s="47">
        <v>10.72</v>
      </c>
      <c r="B33" s="3">
        <v>149.6</v>
      </c>
      <c r="E33" s="21">
        <v>13</v>
      </c>
      <c r="F33" s="21">
        <f t="shared" si="7"/>
        <v>151.30000000000013</v>
      </c>
      <c r="G33" s="21">
        <f t="shared" si="8"/>
        <v>153.10000000000014</v>
      </c>
      <c r="H33" s="23">
        <f t="shared" si="0"/>
        <v>5</v>
      </c>
      <c r="I33" s="21">
        <f t="shared" si="6"/>
        <v>64</v>
      </c>
      <c r="J33" s="53">
        <f t="shared" si="1"/>
        <v>0.91428571428571426</v>
      </c>
      <c r="K33" s="21">
        <f t="shared" si="2"/>
        <v>152.20000000000013</v>
      </c>
      <c r="L33" s="53">
        <f t="shared" si="3"/>
        <v>0.85645252413695483</v>
      </c>
      <c r="M33" s="21">
        <f t="shared" si="4"/>
        <v>5.7833190148759428E-2</v>
      </c>
    </row>
    <row r="34" spans="1:14" x14ac:dyDescent="0.2">
      <c r="A34" s="47">
        <v>10.72</v>
      </c>
      <c r="B34" s="3">
        <v>141.19999999999999</v>
      </c>
      <c r="E34" s="21">
        <v>14</v>
      </c>
      <c r="F34" s="21">
        <f t="shared" si="7"/>
        <v>153.10000000000014</v>
      </c>
      <c r="G34" s="21">
        <f t="shared" si="8"/>
        <v>154.90000000000015</v>
      </c>
      <c r="H34" s="23">
        <f t="shared" si="0"/>
        <v>1</v>
      </c>
      <c r="I34" s="21">
        <f t="shared" si="6"/>
        <v>65</v>
      </c>
      <c r="J34" s="53">
        <f t="shared" si="1"/>
        <v>0.9285714285714286</v>
      </c>
      <c r="K34" s="21">
        <f t="shared" si="2"/>
        <v>154.00000000000014</v>
      </c>
      <c r="L34" s="53">
        <f t="shared" si="3"/>
        <v>0.91226552474320577</v>
      </c>
      <c r="M34" s="21">
        <f t="shared" si="4"/>
        <v>1.6305903828222834E-2</v>
      </c>
    </row>
    <row r="35" spans="1:14" x14ac:dyDescent="0.2">
      <c r="A35" s="47">
        <v>10.73</v>
      </c>
      <c r="B35" s="3">
        <v>139.1</v>
      </c>
      <c r="E35" s="21">
        <v>15</v>
      </c>
      <c r="F35" s="21">
        <f t="shared" si="7"/>
        <v>154.90000000000015</v>
      </c>
      <c r="G35" s="21">
        <f t="shared" si="8"/>
        <v>156.70000000000016</v>
      </c>
      <c r="H35" s="23">
        <f t="shared" si="0"/>
        <v>3</v>
      </c>
      <c r="I35" s="21">
        <f t="shared" si="6"/>
        <v>68</v>
      </c>
      <c r="J35" s="53">
        <f t="shared" si="1"/>
        <v>0.97142857142857142</v>
      </c>
      <c r="K35" s="21">
        <f t="shared" si="2"/>
        <v>155.80000000000015</v>
      </c>
      <c r="L35" s="53">
        <f t="shared" si="3"/>
        <v>0.95003172303072669</v>
      </c>
      <c r="M35" s="21">
        <f t="shared" si="4"/>
        <v>2.1396848397844725E-2</v>
      </c>
    </row>
    <row r="36" spans="1:14" x14ac:dyDescent="0.2">
      <c r="A36" s="47">
        <v>10.73</v>
      </c>
      <c r="B36" s="3">
        <v>147.1</v>
      </c>
      <c r="E36" s="21">
        <v>16</v>
      </c>
      <c r="F36" s="21">
        <f t="shared" si="7"/>
        <v>156.70000000000016</v>
      </c>
      <c r="G36" s="21">
        <f t="shared" si="8"/>
        <v>158.50000000000017</v>
      </c>
      <c r="H36" s="23">
        <f t="shared" si="0"/>
        <v>2</v>
      </c>
      <c r="I36" s="21">
        <f t="shared" si="6"/>
        <v>70</v>
      </c>
      <c r="J36" s="53">
        <f t="shared" si="1"/>
        <v>1</v>
      </c>
      <c r="K36" s="21">
        <f t="shared" si="2"/>
        <v>157.60000000000016</v>
      </c>
      <c r="L36" s="53">
        <f t="shared" si="3"/>
        <v>0.97353452698506671</v>
      </c>
      <c r="M36" s="21">
        <f t="shared" si="4"/>
        <v>2.6465473014933294E-2</v>
      </c>
    </row>
    <row r="37" spans="1:14" ht="12.75" thickBot="1" x14ac:dyDescent="0.25">
      <c r="A37" s="47">
        <v>10.73</v>
      </c>
      <c r="B37" s="3">
        <v>140.4</v>
      </c>
      <c r="L37" s="51" t="s">
        <v>46</v>
      </c>
      <c r="M37" s="52">
        <f>MAX(M21:M36)</f>
        <v>7.950146778714523E-2</v>
      </c>
    </row>
    <row r="38" spans="1:14" ht="12.75" thickBot="1" x14ac:dyDescent="0.25">
      <c r="A38" s="47">
        <v>10.74</v>
      </c>
      <c r="B38" s="3">
        <v>150.4</v>
      </c>
      <c r="K38" t="s">
        <v>48</v>
      </c>
      <c r="L38" s="43" t="s">
        <v>47</v>
      </c>
      <c r="M38" s="41">
        <f>M37*SQRT(F14)</f>
        <v>0.66515700148290879</v>
      </c>
    </row>
    <row r="39" spans="1:14" ht="12.75" thickBot="1" x14ac:dyDescent="0.25">
      <c r="A39" s="47">
        <v>10.74</v>
      </c>
      <c r="B39" s="3">
        <v>145.30000000000001</v>
      </c>
      <c r="L39" s="43" t="s">
        <v>49</v>
      </c>
      <c r="M39" s="42">
        <v>1.36</v>
      </c>
      <c r="N39" t="s">
        <v>50</v>
      </c>
    </row>
    <row r="40" spans="1:14" x14ac:dyDescent="0.2">
      <c r="A40" s="47">
        <v>10.74</v>
      </c>
      <c r="B40" s="3">
        <v>149.9</v>
      </c>
    </row>
    <row r="41" spans="1:14" x14ac:dyDescent="0.2">
      <c r="A41" s="47">
        <v>10.75</v>
      </c>
      <c r="B41" s="3">
        <v>150.80000000000001</v>
      </c>
      <c r="K41" t="s">
        <v>51</v>
      </c>
      <c r="L41" s="4" t="s">
        <v>52</v>
      </c>
    </row>
    <row r="42" spans="1:14" x14ac:dyDescent="0.2">
      <c r="A42" s="47">
        <v>10.78</v>
      </c>
      <c r="B42" s="3">
        <v>149.30000000000001</v>
      </c>
    </row>
    <row r="43" spans="1:14" x14ac:dyDescent="0.2">
      <c r="A43" s="47">
        <v>10.78</v>
      </c>
      <c r="B43" s="3">
        <v>150.30000000000001</v>
      </c>
    </row>
    <row r="44" spans="1:14" x14ac:dyDescent="0.2">
      <c r="A44" s="47">
        <v>10.8</v>
      </c>
      <c r="B44" s="3">
        <v>151.80000000000001</v>
      </c>
    </row>
    <row r="45" spans="1:14" x14ac:dyDescent="0.2">
      <c r="A45" s="47">
        <v>10.8</v>
      </c>
      <c r="B45" s="3">
        <v>142.4</v>
      </c>
    </row>
    <row r="46" spans="1:14" x14ac:dyDescent="0.2">
      <c r="A46" s="47">
        <v>10.8</v>
      </c>
      <c r="B46" s="3">
        <v>141.80000000000001</v>
      </c>
    </row>
    <row r="47" spans="1:14" x14ac:dyDescent="0.2">
      <c r="A47" s="47">
        <v>10.81</v>
      </c>
      <c r="B47" s="3">
        <v>157</v>
      </c>
    </row>
    <row r="48" spans="1:14" x14ac:dyDescent="0.2">
      <c r="A48" s="47">
        <v>10.81</v>
      </c>
      <c r="B48" s="3">
        <v>153.1</v>
      </c>
    </row>
    <row r="49" spans="1:2" x14ac:dyDescent="0.2">
      <c r="A49" s="47">
        <v>10.82</v>
      </c>
      <c r="B49" s="3">
        <v>129.80000000000001</v>
      </c>
    </row>
    <row r="50" spans="1:2" x14ac:dyDescent="0.2">
      <c r="A50" s="47">
        <v>10.82</v>
      </c>
      <c r="B50" s="3">
        <v>151.5</v>
      </c>
    </row>
    <row r="51" spans="1:2" x14ac:dyDescent="0.2">
      <c r="A51" s="47">
        <v>10.84</v>
      </c>
      <c r="B51" s="3">
        <v>155.19999999999999</v>
      </c>
    </row>
    <row r="52" spans="1:2" x14ac:dyDescent="0.2">
      <c r="A52" s="47">
        <v>10.86</v>
      </c>
      <c r="B52" s="3">
        <v>152.80000000000001</v>
      </c>
    </row>
    <row r="53" spans="1:2" x14ac:dyDescent="0.2">
      <c r="A53" s="47">
        <v>10.86</v>
      </c>
      <c r="B53" s="3">
        <v>146</v>
      </c>
    </row>
    <row r="54" spans="1:2" x14ac:dyDescent="0.2">
      <c r="A54" s="47">
        <v>10.87</v>
      </c>
      <c r="B54" s="3">
        <v>155.9</v>
      </c>
    </row>
    <row r="55" spans="1:2" x14ac:dyDescent="0.2">
      <c r="A55" s="47">
        <v>10.88</v>
      </c>
      <c r="B55" s="3">
        <v>147.5</v>
      </c>
    </row>
    <row r="56" spans="1:2" x14ac:dyDescent="0.2">
      <c r="A56" s="47">
        <v>10.88</v>
      </c>
      <c r="B56" s="3">
        <v>147.5</v>
      </c>
    </row>
    <row r="57" spans="1:2" x14ac:dyDescent="0.2">
      <c r="A57" s="47">
        <v>10.89</v>
      </c>
      <c r="B57" s="3">
        <v>148.69999999999999</v>
      </c>
    </row>
    <row r="58" spans="1:2" x14ac:dyDescent="0.2">
      <c r="A58" s="47">
        <v>10.89</v>
      </c>
      <c r="B58" s="3">
        <v>146.80000000000001</v>
      </c>
    </row>
    <row r="59" spans="1:2" x14ac:dyDescent="0.2">
      <c r="A59" s="47">
        <v>10.9</v>
      </c>
      <c r="B59" s="3">
        <v>148.69999999999999</v>
      </c>
    </row>
    <row r="60" spans="1:2" x14ac:dyDescent="0.2">
      <c r="A60" s="47">
        <v>10.91</v>
      </c>
      <c r="B60" s="3">
        <v>139.19999999999999</v>
      </c>
    </row>
    <row r="61" spans="1:2" x14ac:dyDescent="0.2">
      <c r="A61" s="47">
        <v>10.91</v>
      </c>
      <c r="B61" s="3">
        <v>137.5</v>
      </c>
    </row>
    <row r="62" spans="1:2" x14ac:dyDescent="0.2">
      <c r="A62" s="47">
        <v>10.92</v>
      </c>
      <c r="B62" s="3">
        <v>150.69999999999999</v>
      </c>
    </row>
    <row r="63" spans="1:2" x14ac:dyDescent="0.2">
      <c r="A63" s="47">
        <v>10.93</v>
      </c>
      <c r="B63" s="3">
        <v>144.80000000000001</v>
      </c>
    </row>
    <row r="64" spans="1:2" x14ac:dyDescent="0.2">
      <c r="A64" s="47">
        <v>10.94</v>
      </c>
      <c r="B64" s="3">
        <v>151.19999999999999</v>
      </c>
    </row>
    <row r="65" spans="1:2" x14ac:dyDescent="0.2">
      <c r="A65" s="47">
        <v>10.95</v>
      </c>
      <c r="B65" s="3">
        <v>143</v>
      </c>
    </row>
    <row r="66" spans="1:2" x14ac:dyDescent="0.2">
      <c r="A66" s="47">
        <v>10.95</v>
      </c>
      <c r="B66" s="3">
        <v>151.1</v>
      </c>
    </row>
    <row r="67" spans="1:2" x14ac:dyDescent="0.2">
      <c r="A67" s="47">
        <v>10.96</v>
      </c>
      <c r="B67" s="3">
        <v>148.69999999999999</v>
      </c>
    </row>
    <row r="68" spans="1:2" x14ac:dyDescent="0.2">
      <c r="A68" s="47">
        <v>10.97</v>
      </c>
      <c r="B68" s="3">
        <v>144</v>
      </c>
    </row>
    <row r="69" spans="1:2" x14ac:dyDescent="0.2">
      <c r="A69" s="47">
        <v>10.97</v>
      </c>
      <c r="B69" s="3">
        <v>152.80000000000001</v>
      </c>
    </row>
    <row r="70" spans="1:2" x14ac:dyDescent="0.2">
      <c r="A70" s="47">
        <v>10.98</v>
      </c>
      <c r="B70" s="3">
        <v>148.5</v>
      </c>
    </row>
    <row r="71" spans="1:2" x14ac:dyDescent="0.2">
      <c r="A71" s="47">
        <v>10.98</v>
      </c>
      <c r="B71" s="3">
        <v>137.4</v>
      </c>
    </row>
    <row r="72" spans="1:2" x14ac:dyDescent="0.2">
      <c r="A72" s="47">
        <v>10.99</v>
      </c>
      <c r="B72" s="3">
        <v>158.19999999999999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50"/>
  <sheetViews>
    <sheetView workbookViewId="0">
      <selection activeCell="E14" sqref="E14"/>
    </sheetView>
  </sheetViews>
  <sheetFormatPr defaultRowHeight="12" x14ac:dyDescent="0.2"/>
  <cols>
    <col min="1" max="1" width="10.140625" style="32" bestFit="1" customWidth="1"/>
    <col min="2" max="2" width="9.7109375" customWidth="1"/>
    <col min="3" max="3" width="10.140625" style="32" bestFit="1" customWidth="1"/>
    <col min="5" max="5" width="10.140625" style="32" bestFit="1" customWidth="1"/>
    <col min="6" max="6" width="9.85546875" bestFit="1" customWidth="1"/>
    <col min="7" max="7" width="10.140625" style="32" bestFit="1" customWidth="1"/>
  </cols>
  <sheetData>
    <row r="2" spans="1:8" ht="20.25" x14ac:dyDescent="0.3">
      <c r="B2" s="10" t="s">
        <v>7</v>
      </c>
    </row>
    <row r="5" spans="1:8" ht="18" x14ac:dyDescent="0.25">
      <c r="A5" s="44" t="s">
        <v>1</v>
      </c>
      <c r="B5" s="9" t="s">
        <v>6</v>
      </c>
      <c r="C5" s="44" t="s">
        <v>1</v>
      </c>
      <c r="D5" s="9" t="s">
        <v>8</v>
      </c>
      <c r="E5" s="44" t="s">
        <v>1</v>
      </c>
      <c r="F5" s="9" t="s">
        <v>8</v>
      </c>
      <c r="G5" s="44" t="s">
        <v>1</v>
      </c>
      <c r="H5" s="9" t="s">
        <v>8</v>
      </c>
    </row>
    <row r="6" spans="1:8" ht="18" x14ac:dyDescent="0.25">
      <c r="A6" s="45">
        <v>0.38</v>
      </c>
      <c r="B6" s="8">
        <v>1E-3</v>
      </c>
      <c r="C6" s="45">
        <v>0.83</v>
      </c>
      <c r="D6" s="8">
        <v>0.504</v>
      </c>
      <c r="E6" s="45">
        <v>1.28</v>
      </c>
      <c r="F6" s="8">
        <v>0.92500000000000004</v>
      </c>
      <c r="G6" s="45">
        <v>1.73</v>
      </c>
      <c r="H6" s="8">
        <v>0.995</v>
      </c>
    </row>
    <row r="7" spans="1:8" ht="18" x14ac:dyDescent="0.25">
      <c r="A7" s="45">
        <v>0.39</v>
      </c>
      <c r="B7" s="8">
        <v>2E-3</v>
      </c>
      <c r="C7" s="45">
        <v>0.84</v>
      </c>
      <c r="D7" s="8">
        <v>0.51900000000000002</v>
      </c>
      <c r="E7" s="45">
        <v>1.29</v>
      </c>
      <c r="F7" s="8">
        <v>0.92800000000000005</v>
      </c>
      <c r="G7" s="45">
        <v>1.74</v>
      </c>
      <c r="H7" s="8">
        <v>0.995</v>
      </c>
    </row>
    <row r="8" spans="1:8" ht="18" x14ac:dyDescent="0.25">
      <c r="A8" s="45">
        <v>0.4</v>
      </c>
      <c r="B8" s="8">
        <v>3.0000000000000001E-3</v>
      </c>
      <c r="C8" s="45">
        <v>0.85</v>
      </c>
      <c r="D8" s="8">
        <v>0.35</v>
      </c>
      <c r="E8" s="45">
        <v>1.3</v>
      </c>
      <c r="F8" s="8">
        <v>0.93200000000000005</v>
      </c>
      <c r="G8" s="45">
        <v>1.75</v>
      </c>
      <c r="H8" s="8">
        <v>0.996</v>
      </c>
    </row>
    <row r="9" spans="1:8" ht="18" x14ac:dyDescent="0.25">
      <c r="A9" s="45">
        <v>0.41</v>
      </c>
      <c r="B9" s="8">
        <v>4.0000000000000001E-3</v>
      </c>
      <c r="C9" s="45">
        <v>0.86</v>
      </c>
      <c r="D9" s="8">
        <v>0.55000000000000004</v>
      </c>
      <c r="E9" s="45">
        <v>1.31</v>
      </c>
      <c r="F9" s="8">
        <v>0.93500000000000005</v>
      </c>
      <c r="G9" s="45">
        <v>1.76</v>
      </c>
      <c r="H9" s="8">
        <v>0.996</v>
      </c>
    </row>
    <row r="10" spans="1:8" ht="18" x14ac:dyDescent="0.25">
      <c r="A10" s="45">
        <v>0.42</v>
      </c>
      <c r="B10" s="8">
        <v>5.0000000000000001E-3</v>
      </c>
      <c r="C10" s="45">
        <v>0.87</v>
      </c>
      <c r="D10" s="8">
        <v>0.56499999999999995</v>
      </c>
      <c r="E10" s="45">
        <v>1.32</v>
      </c>
      <c r="F10" s="8">
        <v>0.93899999999999995</v>
      </c>
      <c r="G10" s="45">
        <v>1.77</v>
      </c>
      <c r="H10" s="8">
        <v>0.996</v>
      </c>
    </row>
    <row r="11" spans="1:8" ht="18" x14ac:dyDescent="0.25">
      <c r="A11" s="45">
        <v>0.43</v>
      </c>
      <c r="B11" s="8">
        <v>7.0000000000000001E-3</v>
      </c>
      <c r="C11" s="45">
        <v>0.88</v>
      </c>
      <c r="D11" s="8">
        <v>0.57899999999999996</v>
      </c>
      <c r="E11" s="45">
        <v>1.33</v>
      </c>
      <c r="F11" s="8">
        <v>0.94199999999999995</v>
      </c>
      <c r="G11" s="45">
        <v>1.78</v>
      </c>
      <c r="H11" s="8">
        <v>0.996</v>
      </c>
    </row>
    <row r="12" spans="1:8" ht="18" x14ac:dyDescent="0.25">
      <c r="A12" s="45">
        <v>0.44</v>
      </c>
      <c r="B12" s="8">
        <v>0.01</v>
      </c>
      <c r="C12" s="45">
        <v>0.89</v>
      </c>
      <c r="D12" s="8">
        <v>0.59299999999999997</v>
      </c>
      <c r="E12" s="45">
        <v>1.34</v>
      </c>
      <c r="F12" s="8">
        <v>0.94499999999999995</v>
      </c>
      <c r="G12" s="45">
        <v>1.79</v>
      </c>
      <c r="H12" s="8">
        <v>0.997</v>
      </c>
    </row>
    <row r="13" spans="1:8" ht="18" x14ac:dyDescent="0.25">
      <c r="A13" s="45">
        <v>0.45</v>
      </c>
      <c r="B13" s="8">
        <v>1.2999999999999999E-2</v>
      </c>
      <c r="C13" s="45">
        <v>0.9</v>
      </c>
      <c r="D13" s="8">
        <v>0.60699999999999998</v>
      </c>
      <c r="E13" s="45">
        <v>1.35</v>
      </c>
      <c r="F13" s="8">
        <v>0.94799999999999995</v>
      </c>
      <c r="G13" s="45">
        <v>1.8</v>
      </c>
      <c r="H13" s="8">
        <v>0.997</v>
      </c>
    </row>
    <row r="14" spans="1:8" ht="18" x14ac:dyDescent="0.25">
      <c r="A14" s="45">
        <v>0.46</v>
      </c>
      <c r="B14" s="8">
        <v>1.6E-2</v>
      </c>
      <c r="C14" s="45">
        <v>0.91</v>
      </c>
      <c r="D14" s="8">
        <v>0.621</v>
      </c>
      <c r="E14" s="45">
        <v>1.36</v>
      </c>
      <c r="F14" s="8">
        <v>0.95099999999999996</v>
      </c>
      <c r="G14" s="45">
        <v>1.81</v>
      </c>
      <c r="H14" s="8">
        <v>0.997</v>
      </c>
    </row>
    <row r="15" spans="1:8" ht="18" x14ac:dyDescent="0.25">
      <c r="A15" s="45">
        <v>0.47</v>
      </c>
      <c r="B15" s="8">
        <v>0.02</v>
      </c>
      <c r="C15" s="45">
        <v>0.92</v>
      </c>
      <c r="D15" s="8">
        <v>0.63400000000000001</v>
      </c>
      <c r="E15" s="45">
        <v>1.37</v>
      </c>
      <c r="F15" s="8">
        <v>0.95299999999999996</v>
      </c>
      <c r="G15" s="45">
        <v>1.82</v>
      </c>
      <c r="H15" s="8">
        <v>0.997</v>
      </c>
    </row>
    <row r="16" spans="1:8" ht="18" x14ac:dyDescent="0.25">
      <c r="A16" s="45">
        <v>0.48</v>
      </c>
      <c r="B16" s="8">
        <v>2.5000000000000001E-2</v>
      </c>
      <c r="C16" s="45">
        <v>0.93</v>
      </c>
      <c r="D16" s="8">
        <v>0.64700000000000002</v>
      </c>
      <c r="E16" s="45">
        <v>1.38</v>
      </c>
      <c r="F16" s="8">
        <v>0.95599999999999996</v>
      </c>
      <c r="G16" s="45">
        <v>1.83</v>
      </c>
      <c r="H16" s="8">
        <v>0.998</v>
      </c>
    </row>
    <row r="17" spans="1:8" ht="18" x14ac:dyDescent="0.25">
      <c r="A17" s="45">
        <v>0.49</v>
      </c>
      <c r="B17" s="8">
        <v>0.03</v>
      </c>
      <c r="C17" s="45">
        <v>0.94</v>
      </c>
      <c r="D17" s="8">
        <v>0.66</v>
      </c>
      <c r="E17" s="45">
        <v>1.39</v>
      </c>
      <c r="F17" s="8">
        <v>0.95799999999999996</v>
      </c>
      <c r="G17" s="45">
        <v>1.84</v>
      </c>
      <c r="H17" s="8">
        <v>0.998</v>
      </c>
    </row>
    <row r="18" spans="1:8" ht="18" x14ac:dyDescent="0.25">
      <c r="A18" s="45">
        <v>0.5</v>
      </c>
      <c r="B18" s="8">
        <v>3.5999999999999997E-2</v>
      </c>
      <c r="C18" s="45">
        <v>0.95</v>
      </c>
      <c r="D18" s="8">
        <v>0.67300000000000004</v>
      </c>
      <c r="E18" s="45">
        <v>1.4</v>
      </c>
      <c r="F18" s="8">
        <v>0.96</v>
      </c>
      <c r="G18" s="45">
        <v>1.85</v>
      </c>
      <c r="H18" s="8">
        <v>0.998</v>
      </c>
    </row>
    <row r="19" spans="1:8" ht="18" x14ac:dyDescent="0.25">
      <c r="A19" s="45">
        <v>0.51</v>
      </c>
      <c r="B19" s="8">
        <v>4.2999999999999997E-2</v>
      </c>
      <c r="C19" s="45">
        <v>0.96</v>
      </c>
      <c r="D19" s="8">
        <v>0.68500000000000005</v>
      </c>
      <c r="E19" s="45">
        <v>1.41</v>
      </c>
      <c r="F19" s="8">
        <v>0.96199999999999997</v>
      </c>
      <c r="G19" s="45">
        <v>1.86</v>
      </c>
      <c r="H19" s="8">
        <v>0.998</v>
      </c>
    </row>
    <row r="20" spans="1:8" ht="18" x14ac:dyDescent="0.25">
      <c r="A20" s="45">
        <v>0.52</v>
      </c>
      <c r="B20" s="8">
        <v>0.05</v>
      </c>
      <c r="C20" s="45">
        <v>0.97</v>
      </c>
      <c r="D20" s="8">
        <v>0.69599999999999995</v>
      </c>
      <c r="E20" s="45">
        <v>1.42</v>
      </c>
      <c r="F20" s="8">
        <v>0.96499999999999997</v>
      </c>
      <c r="G20" s="45">
        <v>1.87</v>
      </c>
      <c r="H20" s="8">
        <v>0.998</v>
      </c>
    </row>
    <row r="21" spans="1:8" ht="18" x14ac:dyDescent="0.25">
      <c r="A21" s="45">
        <v>0.53</v>
      </c>
      <c r="B21" s="8">
        <v>5.8999999999999997E-2</v>
      </c>
      <c r="C21" s="45">
        <v>0.98</v>
      </c>
      <c r="D21" s="8">
        <v>0.70799999999999996</v>
      </c>
      <c r="E21" s="45">
        <v>1.43</v>
      </c>
      <c r="F21" s="8">
        <v>0.96699999999999997</v>
      </c>
      <c r="G21" s="45">
        <v>1.88</v>
      </c>
      <c r="H21" s="8">
        <v>0.998</v>
      </c>
    </row>
    <row r="22" spans="1:8" ht="18" x14ac:dyDescent="0.25">
      <c r="A22" s="45">
        <v>0.54</v>
      </c>
      <c r="B22" s="8">
        <v>6.7000000000000004E-2</v>
      </c>
      <c r="C22" s="45">
        <v>0.99</v>
      </c>
      <c r="D22" s="8">
        <v>0.71899999999999997</v>
      </c>
      <c r="E22" s="45">
        <v>1.44</v>
      </c>
      <c r="F22" s="8">
        <v>0.96799999999999997</v>
      </c>
      <c r="G22" s="45">
        <v>1.89</v>
      </c>
      <c r="H22" s="8">
        <v>0.998</v>
      </c>
    </row>
    <row r="23" spans="1:8" ht="18" x14ac:dyDescent="0.25">
      <c r="A23" s="45">
        <v>0.55000000000000004</v>
      </c>
      <c r="B23" s="8">
        <v>7.6999999999999999E-2</v>
      </c>
      <c r="C23" s="45">
        <v>1</v>
      </c>
      <c r="D23" s="8">
        <v>0.73</v>
      </c>
      <c r="E23" s="45">
        <v>1.45</v>
      </c>
      <c r="F23" s="8">
        <v>0.97</v>
      </c>
      <c r="G23" s="45">
        <v>1.9</v>
      </c>
      <c r="H23" s="8">
        <v>0.999</v>
      </c>
    </row>
    <row r="24" spans="1:8" ht="18" x14ac:dyDescent="0.25">
      <c r="A24" s="45">
        <v>0.56000000000000005</v>
      </c>
      <c r="B24" s="8">
        <v>8.7999999999999995E-2</v>
      </c>
      <c r="C24" s="45">
        <v>1.01</v>
      </c>
      <c r="D24" s="8">
        <v>0.74099999999999999</v>
      </c>
      <c r="E24" s="45">
        <v>1.46</v>
      </c>
      <c r="F24" s="8">
        <v>0.97199999999999998</v>
      </c>
      <c r="G24" s="45">
        <v>1.91</v>
      </c>
      <c r="H24" s="8">
        <v>0.999</v>
      </c>
    </row>
    <row r="25" spans="1:8" ht="18" x14ac:dyDescent="0.25">
      <c r="A25" s="45">
        <v>0.56999999999999995</v>
      </c>
      <c r="B25" s="8">
        <v>9.9000000000000005E-2</v>
      </c>
      <c r="C25" s="45">
        <v>1.02</v>
      </c>
      <c r="D25" s="8">
        <v>0.751</v>
      </c>
      <c r="E25" s="45">
        <v>1.47</v>
      </c>
      <c r="F25" s="8">
        <v>0.97299999999999998</v>
      </c>
      <c r="G25" s="45">
        <v>1.92</v>
      </c>
      <c r="H25" s="8">
        <v>0.999</v>
      </c>
    </row>
    <row r="26" spans="1:8" ht="18" x14ac:dyDescent="0.25">
      <c r="A26" s="45">
        <v>0.57999999999999996</v>
      </c>
      <c r="B26" s="8">
        <v>0.11</v>
      </c>
      <c r="C26" s="45">
        <v>1.03</v>
      </c>
      <c r="D26" s="8">
        <v>0.76100000000000001</v>
      </c>
      <c r="E26" s="45">
        <v>1.48</v>
      </c>
      <c r="F26" s="8">
        <v>0.97499999999999998</v>
      </c>
      <c r="G26" s="45">
        <v>1.93</v>
      </c>
      <c r="H26" s="8">
        <v>0.999</v>
      </c>
    </row>
    <row r="27" spans="1:8" ht="18" x14ac:dyDescent="0.25">
      <c r="A27" s="45">
        <v>0.59</v>
      </c>
      <c r="B27" s="8">
        <v>0.123</v>
      </c>
      <c r="C27" s="45">
        <v>1.04</v>
      </c>
      <c r="D27" s="8">
        <v>0.77</v>
      </c>
      <c r="E27" s="45">
        <v>1.49</v>
      </c>
      <c r="F27" s="8">
        <v>0.97599999999999998</v>
      </c>
      <c r="G27" s="45">
        <v>1.94</v>
      </c>
      <c r="H27" s="8">
        <v>0.999</v>
      </c>
    </row>
    <row r="28" spans="1:8" ht="18" x14ac:dyDescent="0.25">
      <c r="A28" s="45">
        <v>0.6</v>
      </c>
      <c r="B28" s="8">
        <v>0.13600000000000001</v>
      </c>
      <c r="C28" s="45">
        <v>1.05</v>
      </c>
      <c r="D28" s="8">
        <v>0.78</v>
      </c>
      <c r="E28" s="45">
        <v>1.5</v>
      </c>
      <c r="F28" s="8">
        <v>0.97799999999999998</v>
      </c>
      <c r="G28" s="45">
        <v>1.95</v>
      </c>
      <c r="H28" s="8">
        <v>0.999</v>
      </c>
    </row>
    <row r="29" spans="1:8" ht="18" x14ac:dyDescent="0.25">
      <c r="A29" s="45">
        <v>0.61</v>
      </c>
      <c r="B29" s="8">
        <v>0.14899999999999999</v>
      </c>
      <c r="C29" s="45">
        <v>1.06</v>
      </c>
      <c r="D29" s="8">
        <v>0.78900000000000003</v>
      </c>
      <c r="E29" s="45">
        <v>1.51</v>
      </c>
      <c r="F29" s="8">
        <v>0.97899999999999998</v>
      </c>
      <c r="G29" s="45">
        <v>1.96</v>
      </c>
      <c r="H29" s="8">
        <v>0.999</v>
      </c>
    </row>
    <row r="30" spans="1:8" ht="18" x14ac:dyDescent="0.25">
      <c r="A30" s="45">
        <v>0.62</v>
      </c>
      <c r="B30" s="8">
        <v>0.16300000000000001</v>
      </c>
      <c r="C30" s="45">
        <v>1.07</v>
      </c>
      <c r="D30" s="8">
        <v>0.79800000000000004</v>
      </c>
      <c r="E30" s="45">
        <v>1.52</v>
      </c>
      <c r="F30" s="8">
        <v>0.98</v>
      </c>
      <c r="G30" s="45">
        <v>1.97</v>
      </c>
      <c r="H30" s="8">
        <v>0.999</v>
      </c>
    </row>
    <row r="31" spans="1:8" ht="18" x14ac:dyDescent="0.25">
      <c r="A31" s="45">
        <v>0.63</v>
      </c>
      <c r="B31" s="8">
        <v>0.17799999999999999</v>
      </c>
      <c r="C31" s="45">
        <v>1.08</v>
      </c>
      <c r="D31" s="8">
        <v>0.80600000000000005</v>
      </c>
      <c r="E31" s="45">
        <v>1.53</v>
      </c>
      <c r="F31" s="8">
        <v>0.98099999999999998</v>
      </c>
      <c r="G31" s="45">
        <v>1.98</v>
      </c>
      <c r="H31" s="8">
        <v>0.999</v>
      </c>
    </row>
    <row r="32" spans="1:8" ht="18" x14ac:dyDescent="0.25">
      <c r="A32" s="45">
        <v>0.64</v>
      </c>
      <c r="B32" s="8">
        <v>0.193</v>
      </c>
      <c r="C32" s="45">
        <v>1.0900000000000001</v>
      </c>
      <c r="D32" s="8">
        <v>0.81399999999999995</v>
      </c>
      <c r="E32" s="45">
        <v>1.54</v>
      </c>
      <c r="F32" s="8">
        <v>0.98299999999999998</v>
      </c>
      <c r="G32" s="45">
        <v>1.99</v>
      </c>
      <c r="H32" s="8">
        <v>0.999</v>
      </c>
    </row>
    <row r="33" spans="1:8" ht="18" x14ac:dyDescent="0.25">
      <c r="A33" s="45">
        <v>0.65</v>
      </c>
      <c r="B33" s="8">
        <v>0.20799999999999999</v>
      </c>
      <c r="C33" s="45">
        <v>1.1000000000000001</v>
      </c>
      <c r="D33" s="8">
        <v>0.82199999999999995</v>
      </c>
      <c r="E33" s="45">
        <v>1.55</v>
      </c>
      <c r="F33" s="8">
        <v>0.98399999999999999</v>
      </c>
      <c r="G33" s="45">
        <v>2</v>
      </c>
      <c r="H33" s="8">
        <v>0.999</v>
      </c>
    </row>
    <row r="34" spans="1:8" ht="18" x14ac:dyDescent="0.25">
      <c r="A34" s="45">
        <v>0.66</v>
      </c>
      <c r="B34" s="8">
        <v>0.224</v>
      </c>
      <c r="C34" s="45">
        <v>1.1100000000000001</v>
      </c>
      <c r="D34" s="8">
        <v>0.83</v>
      </c>
      <c r="E34" s="45">
        <v>1.56</v>
      </c>
      <c r="F34" s="8">
        <v>0.98499999999999999</v>
      </c>
      <c r="G34" s="45">
        <v>2.0099999999999998</v>
      </c>
      <c r="H34" s="8">
        <v>0.999</v>
      </c>
    </row>
    <row r="35" spans="1:8" ht="18" x14ac:dyDescent="0.25">
      <c r="A35" s="45">
        <v>0.67</v>
      </c>
      <c r="B35" s="8">
        <v>0.24</v>
      </c>
      <c r="C35" s="45">
        <v>1.1200000000000001</v>
      </c>
      <c r="D35" s="8">
        <v>0.83699999999999997</v>
      </c>
      <c r="E35" s="45">
        <v>1.57</v>
      </c>
      <c r="F35" s="8">
        <v>0.98599999999999999</v>
      </c>
      <c r="G35" s="45">
        <v>2.02</v>
      </c>
      <c r="H35" s="8">
        <v>0.999</v>
      </c>
    </row>
    <row r="36" spans="1:8" ht="18" x14ac:dyDescent="0.25">
      <c r="A36" s="45">
        <v>0.68</v>
      </c>
      <c r="B36" s="8">
        <v>0.25600000000000001</v>
      </c>
      <c r="C36" s="45">
        <v>1.1299999999999999</v>
      </c>
      <c r="D36" s="8">
        <v>0.84499999999999997</v>
      </c>
      <c r="E36" s="45">
        <v>1.58</v>
      </c>
      <c r="F36" s="8">
        <v>0.98599999999999999</v>
      </c>
      <c r="G36" s="45">
        <v>2.0299999999999998</v>
      </c>
      <c r="H36" s="8">
        <v>0.999</v>
      </c>
    </row>
    <row r="37" spans="1:8" ht="18" x14ac:dyDescent="0.25">
      <c r="A37" s="45">
        <v>0.69</v>
      </c>
      <c r="B37" s="8">
        <v>0.27200000000000002</v>
      </c>
      <c r="C37" s="45">
        <v>1.1399999999999999</v>
      </c>
      <c r="D37" s="8">
        <v>0.85099999999999998</v>
      </c>
      <c r="E37" s="45">
        <v>1.59</v>
      </c>
      <c r="F37" s="8">
        <v>0.98699999999999999</v>
      </c>
      <c r="G37" s="45">
        <v>2.04</v>
      </c>
      <c r="H37" s="8">
        <v>1</v>
      </c>
    </row>
    <row r="38" spans="1:8" ht="18" x14ac:dyDescent="0.25">
      <c r="A38" s="45">
        <v>0.7</v>
      </c>
      <c r="B38" s="8">
        <v>0.28899999999999998</v>
      </c>
      <c r="C38" s="45">
        <v>1.1499999999999999</v>
      </c>
      <c r="D38" s="8">
        <v>0.85799999999999998</v>
      </c>
      <c r="E38" s="45">
        <v>1.6</v>
      </c>
      <c r="F38" s="8">
        <v>0.98799999999999999</v>
      </c>
      <c r="G38" s="45">
        <v>2.0499999999999998</v>
      </c>
      <c r="H38" s="8">
        <v>1</v>
      </c>
    </row>
    <row r="39" spans="1:8" ht="18" x14ac:dyDescent="0.25">
      <c r="A39" s="45">
        <v>0.71</v>
      </c>
      <c r="B39" s="8">
        <v>0.30499999999999999</v>
      </c>
      <c r="C39" s="45">
        <v>1.1599999999999999</v>
      </c>
      <c r="D39" s="8">
        <v>0.86399999999999999</v>
      </c>
      <c r="E39" s="45">
        <v>1.61</v>
      </c>
      <c r="F39" s="8">
        <v>0.98899999999999999</v>
      </c>
      <c r="G39" s="45">
        <v>2.06</v>
      </c>
      <c r="H39" s="8">
        <v>1</v>
      </c>
    </row>
    <row r="40" spans="1:8" ht="18" x14ac:dyDescent="0.25">
      <c r="A40" s="45">
        <v>0.72</v>
      </c>
      <c r="B40" s="8">
        <v>0.32200000000000001</v>
      </c>
      <c r="C40" s="45">
        <v>1.17</v>
      </c>
      <c r="D40" s="8">
        <v>0.871</v>
      </c>
      <c r="E40" s="45">
        <v>1.62</v>
      </c>
      <c r="F40" s="8">
        <v>0.98899999999999999</v>
      </c>
      <c r="G40" s="45">
        <v>2.0699999999999998</v>
      </c>
      <c r="H40" s="8">
        <v>1</v>
      </c>
    </row>
    <row r="41" spans="1:8" ht="18" x14ac:dyDescent="0.25">
      <c r="A41" s="45">
        <v>0.73</v>
      </c>
      <c r="B41" s="8">
        <v>0.33900000000000002</v>
      </c>
      <c r="C41" s="45">
        <v>1.18</v>
      </c>
      <c r="D41" s="8">
        <v>0.877</v>
      </c>
      <c r="E41" s="45">
        <v>1.63</v>
      </c>
      <c r="F41" s="8">
        <v>0.99</v>
      </c>
      <c r="G41" s="45">
        <v>2.08</v>
      </c>
      <c r="H41" s="8">
        <v>1</v>
      </c>
    </row>
    <row r="42" spans="1:8" ht="18" x14ac:dyDescent="0.25">
      <c r="A42" s="45">
        <v>0.74</v>
      </c>
      <c r="B42" s="8">
        <v>0.35599999999999998</v>
      </c>
      <c r="C42" s="45">
        <v>1.19</v>
      </c>
      <c r="D42" s="8">
        <v>0.872</v>
      </c>
      <c r="E42" s="45">
        <v>1.64</v>
      </c>
      <c r="F42" s="8">
        <v>0.99099999999999999</v>
      </c>
      <c r="G42" s="45">
        <v>2.09</v>
      </c>
      <c r="H42" s="8">
        <v>1</v>
      </c>
    </row>
    <row r="43" spans="1:8" ht="18" x14ac:dyDescent="0.25">
      <c r="A43" s="45">
        <v>0.75</v>
      </c>
      <c r="B43" s="8">
        <v>0.373</v>
      </c>
      <c r="C43" s="45">
        <v>1.2</v>
      </c>
      <c r="D43" s="8">
        <v>0.88800000000000001</v>
      </c>
      <c r="E43" s="45">
        <v>1.65</v>
      </c>
      <c r="F43" s="8">
        <v>0.99099999999999999</v>
      </c>
      <c r="G43" s="45">
        <v>2.1</v>
      </c>
      <c r="H43" s="8">
        <v>1</v>
      </c>
    </row>
    <row r="44" spans="1:8" ht="18" x14ac:dyDescent="0.25">
      <c r="A44" s="45">
        <v>0.76</v>
      </c>
      <c r="B44" s="8">
        <v>0.39</v>
      </c>
      <c r="C44" s="45">
        <v>1.21</v>
      </c>
      <c r="D44" s="8">
        <v>0.89300000000000002</v>
      </c>
      <c r="E44" s="45">
        <v>1.66</v>
      </c>
      <c r="F44" s="8">
        <v>0.99199999999999999</v>
      </c>
      <c r="G44" s="45">
        <v>2.11</v>
      </c>
      <c r="H44" s="8">
        <v>1</v>
      </c>
    </row>
    <row r="45" spans="1:8" ht="18" x14ac:dyDescent="0.25">
      <c r="A45" s="45">
        <v>0.77</v>
      </c>
      <c r="B45" s="8">
        <v>0.40600000000000003</v>
      </c>
      <c r="C45" s="45">
        <v>1.22</v>
      </c>
      <c r="D45" s="8">
        <v>0.89800000000000002</v>
      </c>
      <c r="E45" s="45">
        <v>1.67</v>
      </c>
      <c r="F45" s="8">
        <v>0.99199999999999999</v>
      </c>
      <c r="G45" s="45">
        <v>2.12</v>
      </c>
      <c r="H45" s="8">
        <v>1</v>
      </c>
    </row>
    <row r="46" spans="1:8" ht="18" x14ac:dyDescent="0.25">
      <c r="A46" s="45">
        <v>0.78</v>
      </c>
      <c r="B46" s="8">
        <v>0.42299999999999999</v>
      </c>
      <c r="C46" s="45">
        <v>1.23</v>
      </c>
      <c r="D46" s="8">
        <v>0.90300000000000002</v>
      </c>
      <c r="E46" s="45">
        <v>1.68</v>
      </c>
      <c r="F46" s="8">
        <v>0.99299999999999999</v>
      </c>
      <c r="G46" s="45">
        <v>2.13</v>
      </c>
      <c r="H46" s="8">
        <v>1</v>
      </c>
    </row>
    <row r="47" spans="1:8" ht="18" x14ac:dyDescent="0.25">
      <c r="A47" s="45">
        <v>0.79</v>
      </c>
      <c r="B47" s="8">
        <v>0.44</v>
      </c>
      <c r="C47" s="45">
        <v>1.24</v>
      </c>
      <c r="D47" s="8">
        <v>0.90800000000000003</v>
      </c>
      <c r="E47" s="45">
        <v>1.69</v>
      </c>
      <c r="F47" s="8">
        <v>0.99299999999999999</v>
      </c>
      <c r="G47" s="45">
        <v>2.14</v>
      </c>
      <c r="H47" s="8">
        <v>1</v>
      </c>
    </row>
    <row r="48" spans="1:8" ht="18" x14ac:dyDescent="0.25">
      <c r="A48" s="45">
        <v>0.8</v>
      </c>
      <c r="B48" s="8">
        <v>0.45600000000000002</v>
      </c>
      <c r="C48" s="45">
        <v>1.25</v>
      </c>
      <c r="D48" s="8">
        <v>0.91200000000000003</v>
      </c>
      <c r="E48" s="45">
        <v>1.7</v>
      </c>
      <c r="F48" s="8">
        <v>0.99399999999999999</v>
      </c>
      <c r="G48" s="45">
        <v>2.15</v>
      </c>
      <c r="H48" s="8">
        <v>1</v>
      </c>
    </row>
    <row r="49" spans="1:8" ht="18" x14ac:dyDescent="0.25">
      <c r="A49" s="45">
        <v>0.81</v>
      </c>
      <c r="B49" s="8">
        <v>0.47199999999999998</v>
      </c>
      <c r="C49" s="45">
        <v>1.26</v>
      </c>
      <c r="D49" s="8">
        <v>0.91600000000000004</v>
      </c>
      <c r="E49" s="45">
        <v>1.71</v>
      </c>
      <c r="F49" s="8">
        <v>0.99399999999999999</v>
      </c>
      <c r="G49" s="45">
        <v>2.16</v>
      </c>
      <c r="H49" s="8">
        <v>1</v>
      </c>
    </row>
    <row r="50" spans="1:8" ht="18" x14ac:dyDescent="0.25">
      <c r="A50" s="45">
        <v>0.82</v>
      </c>
      <c r="B50" s="8">
        <v>0.48799999999999999</v>
      </c>
      <c r="C50" s="45">
        <v>1.27</v>
      </c>
      <c r="D50" s="8">
        <v>0.92100000000000004</v>
      </c>
      <c r="E50" s="45">
        <v>1.72</v>
      </c>
      <c r="F50" s="8">
        <v>0.995</v>
      </c>
      <c r="G50" s="45">
        <v>2.17</v>
      </c>
      <c r="H50" s="8">
        <v>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1"/>
  <sheetViews>
    <sheetView topLeftCell="A7" workbookViewId="0">
      <selection activeCell="J30" sqref="J30"/>
    </sheetView>
  </sheetViews>
  <sheetFormatPr defaultRowHeight="12" x14ac:dyDescent="0.2"/>
  <cols>
    <col min="1" max="1" width="5.5703125" style="2" customWidth="1"/>
    <col min="8" max="8" width="11.42578125" customWidth="1"/>
    <col min="14" max="14" width="13.5703125" customWidth="1"/>
    <col min="15" max="15" width="8" customWidth="1"/>
    <col min="16" max="16" width="12.5703125" customWidth="1"/>
    <col min="17" max="17" width="14.7109375" customWidth="1"/>
  </cols>
  <sheetData>
    <row r="1" spans="1:17" x14ac:dyDescent="0.2">
      <c r="A1" s="1" t="s">
        <v>0</v>
      </c>
    </row>
    <row r="2" spans="1:17" x14ac:dyDescent="0.2">
      <c r="A2" s="2">
        <v>24</v>
      </c>
      <c r="C2" t="s">
        <v>14</v>
      </c>
    </row>
    <row r="3" spans="1:17" x14ac:dyDescent="0.2">
      <c r="A3" s="2">
        <v>31</v>
      </c>
    </row>
    <row r="4" spans="1:17" x14ac:dyDescent="0.2">
      <c r="A4" s="2">
        <v>23</v>
      </c>
      <c r="C4" s="46" t="s">
        <v>54</v>
      </c>
      <c r="D4" s="46"/>
      <c r="E4" s="46"/>
      <c r="F4" s="46"/>
      <c r="G4" s="46"/>
      <c r="H4" s="46"/>
      <c r="I4" s="46" t="s">
        <v>53</v>
      </c>
      <c r="J4" s="46"/>
    </row>
    <row r="5" spans="1:17" x14ac:dyDescent="0.2">
      <c r="A5" s="2">
        <v>21</v>
      </c>
    </row>
    <row r="6" spans="1:17" x14ac:dyDescent="0.2">
      <c r="A6" s="2">
        <v>26</v>
      </c>
    </row>
    <row r="7" spans="1:17" x14ac:dyDescent="0.2">
      <c r="A7" s="2">
        <v>29</v>
      </c>
      <c r="C7" s="11" t="s">
        <v>9</v>
      </c>
      <c r="D7">
        <f>COUNT(A2:A201)</f>
        <v>200</v>
      </c>
      <c r="E7" s="11" t="s">
        <v>11</v>
      </c>
      <c r="F7">
        <f>SQRT(D7)</f>
        <v>14.142135623730951</v>
      </c>
      <c r="G7" s="27">
        <v>14</v>
      </c>
    </row>
    <row r="8" spans="1:17" x14ac:dyDescent="0.2">
      <c r="A8" s="2">
        <v>30</v>
      </c>
      <c r="C8" s="11" t="s">
        <v>16</v>
      </c>
      <c r="D8" s="12">
        <f>MAX(A2:A201)</f>
        <v>43</v>
      </c>
      <c r="E8" s="11" t="s">
        <v>12</v>
      </c>
      <c r="F8">
        <f>D10/G7</f>
        <v>2.1428571428571428</v>
      </c>
      <c r="G8" s="27">
        <v>2.1</v>
      </c>
    </row>
    <row r="9" spans="1:17" x14ac:dyDescent="0.2">
      <c r="A9" s="2">
        <v>27</v>
      </c>
      <c r="C9" s="11" t="s">
        <v>17</v>
      </c>
      <c r="D9" s="12">
        <f>MIN(A2:A201)</f>
        <v>13</v>
      </c>
      <c r="E9" s="11" t="s">
        <v>18</v>
      </c>
      <c r="F9">
        <f>D9-(G8/2)</f>
        <v>11.95</v>
      </c>
      <c r="G9" s="27">
        <v>12.5</v>
      </c>
    </row>
    <row r="10" spans="1:17" x14ac:dyDescent="0.2">
      <c r="A10" s="2">
        <v>35</v>
      </c>
      <c r="C10" s="11" t="s">
        <v>10</v>
      </c>
      <c r="D10" s="12">
        <f>D8-D9</f>
        <v>30</v>
      </c>
    </row>
    <row r="11" spans="1:17" x14ac:dyDescent="0.2">
      <c r="A11" s="2">
        <v>21</v>
      </c>
      <c r="C11" s="5"/>
    </row>
    <row r="12" spans="1:17" x14ac:dyDescent="0.2">
      <c r="A12" s="2">
        <v>28</v>
      </c>
    </row>
    <row r="13" spans="1:17" x14ac:dyDescent="0.2">
      <c r="A13" s="2">
        <v>31</v>
      </c>
      <c r="D13" s="13" t="s">
        <v>13</v>
      </c>
      <c r="E13" s="14" t="s">
        <v>19</v>
      </c>
      <c r="F13" s="18" t="s">
        <v>20</v>
      </c>
      <c r="H13" s="21"/>
      <c r="I13" s="22" t="s">
        <v>13</v>
      </c>
      <c r="J13" s="22" t="s">
        <v>19</v>
      </c>
      <c r="K13" s="22" t="s">
        <v>20</v>
      </c>
      <c r="L13" s="22" t="s">
        <v>25</v>
      </c>
      <c r="M13" s="22" t="s">
        <v>26</v>
      </c>
      <c r="N13" s="22" t="s">
        <v>27</v>
      </c>
      <c r="O13" s="22" t="s">
        <v>29</v>
      </c>
      <c r="P13" s="22" t="s">
        <v>35</v>
      </c>
      <c r="Q13" s="22" t="s">
        <v>31</v>
      </c>
    </row>
    <row r="14" spans="1:17" x14ac:dyDescent="0.2">
      <c r="A14" s="2">
        <v>18</v>
      </c>
      <c r="C14">
        <v>1</v>
      </c>
      <c r="D14" s="15">
        <f>G9</f>
        <v>12.5</v>
      </c>
      <c r="E14">
        <f>D14+$G$8</f>
        <v>14.6</v>
      </c>
      <c r="F14" s="16">
        <f t="array" ref="F14:F27">FREQUENCY((A2:A201),E14:E27)</f>
        <v>3</v>
      </c>
      <c r="H14" s="21">
        <v>1</v>
      </c>
      <c r="I14" s="21">
        <v>12.5</v>
      </c>
      <c r="J14" s="21">
        <v>18.8</v>
      </c>
      <c r="K14" s="21">
        <v>12</v>
      </c>
      <c r="L14" s="21">
        <f>POISSON(I14,$J$26,1)</f>
        <v>8.7774463559121677E-4</v>
      </c>
      <c r="M14" s="21">
        <f>POISSON(J14,$J$26,1)</f>
        <v>4.0366971501950184E-2</v>
      </c>
      <c r="N14" s="21">
        <f>M14-L14</f>
        <v>3.9489226866358966E-2</v>
      </c>
      <c r="O14" s="23">
        <f>N14*$D$7</f>
        <v>7.8978453732717933</v>
      </c>
      <c r="P14" s="21">
        <f>(O14-K14)^2</f>
        <v>16.827672581587635</v>
      </c>
      <c r="Q14" s="21">
        <f>P14/O14</f>
        <v>2.130666249625059</v>
      </c>
    </row>
    <row r="15" spans="1:17" x14ac:dyDescent="0.2">
      <c r="A15" s="2">
        <v>18</v>
      </c>
      <c r="C15">
        <v>2</v>
      </c>
      <c r="D15" s="15">
        <f>E14</f>
        <v>14.6</v>
      </c>
      <c r="E15">
        <f t="shared" ref="E15:E27" si="0">D15+$G$8</f>
        <v>16.7</v>
      </c>
      <c r="F15" s="16">
        <v>3</v>
      </c>
      <c r="H15" s="21">
        <v>2</v>
      </c>
      <c r="I15" s="21">
        <v>18.8</v>
      </c>
      <c r="J15" s="21">
        <v>20.900000000000002</v>
      </c>
      <c r="K15" s="21">
        <v>10</v>
      </c>
      <c r="L15" s="21">
        <f t="shared" ref="L15:M23" si="1">POISSON(I15,$J$26,1)</f>
        <v>4.0366971501950184E-2</v>
      </c>
      <c r="M15" s="21">
        <f t="shared" si="1"/>
        <v>9.3543035659095122E-2</v>
      </c>
      <c r="N15" s="21">
        <f t="shared" ref="N15:N23" si="2">M15-L15</f>
        <v>5.3176064157144938E-2</v>
      </c>
      <c r="O15" s="23">
        <f t="shared" ref="O15:O23" si="3">N15*$D$7</f>
        <v>10.635212831428987</v>
      </c>
      <c r="P15" s="21">
        <f t="shared" ref="P15:P23" si="4">(O15-K15)^2</f>
        <v>0.40349534121203079</v>
      </c>
      <c r="Q15" s="21">
        <f t="shared" ref="Q15:Q23" si="5">P15/O15</f>
        <v>3.7939564314089576E-2</v>
      </c>
    </row>
    <row r="16" spans="1:17" x14ac:dyDescent="0.2">
      <c r="A16" s="2">
        <v>31</v>
      </c>
      <c r="C16">
        <v>3</v>
      </c>
      <c r="D16" s="15">
        <f t="shared" ref="D16:D27" si="6">E15</f>
        <v>16.7</v>
      </c>
      <c r="E16">
        <f t="shared" si="0"/>
        <v>18.8</v>
      </c>
      <c r="F16" s="16">
        <v>6</v>
      </c>
      <c r="H16" s="21">
        <v>3</v>
      </c>
      <c r="I16" s="21">
        <v>20.900000000000002</v>
      </c>
      <c r="J16" s="21">
        <v>23.000000000000004</v>
      </c>
      <c r="K16" s="21">
        <v>24</v>
      </c>
      <c r="L16" s="21">
        <f t="shared" si="1"/>
        <v>9.3543035659095122E-2</v>
      </c>
      <c r="M16" s="21">
        <f t="shared" si="1"/>
        <v>0.24102918162237594</v>
      </c>
      <c r="N16" s="21">
        <f t="shared" si="2"/>
        <v>0.1474861459632808</v>
      </c>
      <c r="O16" s="23">
        <f t="shared" si="3"/>
        <v>29.49722919265616</v>
      </c>
      <c r="P16" s="21">
        <f t="shared" si="4"/>
        <v>30.219528796591099</v>
      </c>
      <c r="Q16" s="21">
        <f t="shared" si="5"/>
        <v>1.0244870322977579</v>
      </c>
    </row>
    <row r="17" spans="1:17" x14ac:dyDescent="0.2">
      <c r="A17" s="2">
        <v>26</v>
      </c>
      <c r="C17">
        <v>4</v>
      </c>
      <c r="D17" s="15">
        <f t="shared" si="6"/>
        <v>18.8</v>
      </c>
      <c r="E17">
        <f t="shared" si="0"/>
        <v>20.900000000000002</v>
      </c>
      <c r="F17" s="16">
        <v>10</v>
      </c>
      <c r="H17" s="21">
        <v>4</v>
      </c>
      <c r="I17" s="21">
        <v>23.000000000000004</v>
      </c>
      <c r="J17" s="21">
        <v>25.100000000000005</v>
      </c>
      <c r="K17" s="21">
        <v>30</v>
      </c>
      <c r="L17" s="21">
        <f t="shared" si="1"/>
        <v>0.24102918162237594</v>
      </c>
      <c r="M17" s="21">
        <f t="shared" si="1"/>
        <v>0.37961287860767867</v>
      </c>
      <c r="N17" s="21">
        <f t="shared" si="2"/>
        <v>0.13858369698530273</v>
      </c>
      <c r="O17" s="23">
        <f t="shared" si="3"/>
        <v>27.716739397060547</v>
      </c>
      <c r="P17" s="21">
        <f t="shared" si="4"/>
        <v>5.2132789809354358</v>
      </c>
      <c r="Q17" s="21">
        <f t="shared" si="5"/>
        <v>0.18809135180916417</v>
      </c>
    </row>
    <row r="18" spans="1:17" x14ac:dyDescent="0.2">
      <c r="A18" s="2">
        <v>19</v>
      </c>
      <c r="C18">
        <v>5</v>
      </c>
      <c r="D18" s="15">
        <f t="shared" si="6"/>
        <v>20.900000000000002</v>
      </c>
      <c r="E18">
        <f t="shared" si="0"/>
        <v>23.000000000000004</v>
      </c>
      <c r="F18" s="16">
        <v>24</v>
      </c>
      <c r="H18" s="21">
        <v>5</v>
      </c>
      <c r="I18" s="21">
        <v>25.100000000000005</v>
      </c>
      <c r="J18" s="21">
        <v>27.200000000000006</v>
      </c>
      <c r="K18" s="21">
        <v>32</v>
      </c>
      <c r="L18" s="21">
        <f t="shared" si="1"/>
        <v>0.37961287860767867</v>
      </c>
      <c r="M18" s="21">
        <f t="shared" si="1"/>
        <v>0.53181527544313711</v>
      </c>
      <c r="N18" s="21">
        <f t="shared" si="2"/>
        <v>0.15220239683545844</v>
      </c>
      <c r="O18" s="23">
        <f t="shared" si="3"/>
        <v>30.44047936709169</v>
      </c>
      <c r="P18" s="21">
        <f t="shared" si="4"/>
        <v>2.4321046044667352</v>
      </c>
      <c r="Q18" s="21">
        <f t="shared" si="5"/>
        <v>7.9897053365592274E-2</v>
      </c>
    </row>
    <row r="19" spans="1:17" x14ac:dyDescent="0.2">
      <c r="A19" s="2">
        <v>39</v>
      </c>
      <c r="C19">
        <v>6</v>
      </c>
      <c r="D19" s="15">
        <f t="shared" si="6"/>
        <v>23.000000000000004</v>
      </c>
      <c r="E19">
        <f t="shared" si="0"/>
        <v>25.100000000000005</v>
      </c>
      <c r="F19" s="16">
        <v>30</v>
      </c>
      <c r="H19" s="21">
        <v>6</v>
      </c>
      <c r="I19" s="21">
        <v>27.200000000000006</v>
      </c>
      <c r="J19" s="21">
        <v>29.300000000000008</v>
      </c>
      <c r="K19" s="21">
        <v>21</v>
      </c>
      <c r="L19" s="21">
        <f t="shared" si="1"/>
        <v>0.53181527544313711</v>
      </c>
      <c r="M19" s="21">
        <f t="shared" si="1"/>
        <v>0.67613352739842347</v>
      </c>
      <c r="N19" s="21">
        <f t="shared" si="2"/>
        <v>0.14431825195528636</v>
      </c>
      <c r="O19" s="23">
        <f t="shared" si="3"/>
        <v>28.86365039105727</v>
      </c>
      <c r="P19" s="21">
        <f t="shared" si="4"/>
        <v>61.836997472775153</v>
      </c>
      <c r="Q19" s="21">
        <f t="shared" si="5"/>
        <v>2.1423831232356494</v>
      </c>
    </row>
    <row r="20" spans="1:17" x14ac:dyDescent="0.2">
      <c r="A20" s="2">
        <v>22</v>
      </c>
      <c r="C20">
        <v>7</v>
      </c>
      <c r="D20" s="15">
        <f t="shared" si="6"/>
        <v>25.100000000000005</v>
      </c>
      <c r="E20">
        <f t="shared" si="0"/>
        <v>27.200000000000006</v>
      </c>
      <c r="F20" s="16">
        <v>32</v>
      </c>
      <c r="H20" s="21">
        <v>7</v>
      </c>
      <c r="I20" s="21">
        <v>29.300000000000008</v>
      </c>
      <c r="J20" s="21">
        <v>31.400000000000009</v>
      </c>
      <c r="K20" s="21">
        <v>30</v>
      </c>
      <c r="L20" s="21">
        <f t="shared" si="1"/>
        <v>0.67613352739842347</v>
      </c>
      <c r="M20" s="21">
        <f t="shared" si="1"/>
        <v>0.79546217742680358</v>
      </c>
      <c r="N20" s="21">
        <f t="shared" si="2"/>
        <v>0.11932865002838011</v>
      </c>
      <c r="O20" s="23">
        <f t="shared" si="3"/>
        <v>23.865730005676021</v>
      </c>
      <c r="P20" s="21">
        <f t="shared" si="4"/>
        <v>37.629268363263513</v>
      </c>
      <c r="Q20" s="21">
        <f t="shared" si="5"/>
        <v>1.5767072012594667</v>
      </c>
    </row>
    <row r="21" spans="1:17" x14ac:dyDescent="0.2">
      <c r="A21" s="2">
        <v>27</v>
      </c>
      <c r="C21">
        <v>8</v>
      </c>
      <c r="D21" s="15">
        <f t="shared" si="6"/>
        <v>27.200000000000006</v>
      </c>
      <c r="E21">
        <f t="shared" si="0"/>
        <v>29.300000000000008</v>
      </c>
      <c r="F21" s="16">
        <v>21</v>
      </c>
      <c r="H21" s="21">
        <v>8</v>
      </c>
      <c r="I21" s="21">
        <v>31.400000000000009</v>
      </c>
      <c r="J21" s="21">
        <v>33.500000000000007</v>
      </c>
      <c r="K21" s="21">
        <v>10</v>
      </c>
      <c r="L21" s="21">
        <f t="shared" si="1"/>
        <v>0.79546217742680358</v>
      </c>
      <c r="M21" s="21">
        <f t="shared" si="1"/>
        <v>0.88225322773200598</v>
      </c>
      <c r="N21" s="21">
        <f t="shared" si="2"/>
        <v>8.67910503052024E-2</v>
      </c>
      <c r="O21" s="23">
        <f t="shared" si="3"/>
        <v>17.358210061040481</v>
      </c>
      <c r="P21" s="21">
        <f t="shared" si="4"/>
        <v>54.143255302397357</v>
      </c>
      <c r="Q21" s="21">
        <f t="shared" si="5"/>
        <v>3.1191727206896078</v>
      </c>
    </row>
    <row r="22" spans="1:17" x14ac:dyDescent="0.2">
      <c r="A22" s="2">
        <v>38</v>
      </c>
      <c r="C22">
        <v>9</v>
      </c>
      <c r="D22" s="15">
        <f t="shared" si="6"/>
        <v>29.300000000000008</v>
      </c>
      <c r="E22">
        <f t="shared" si="0"/>
        <v>31.400000000000009</v>
      </c>
      <c r="F22" s="16">
        <v>30</v>
      </c>
      <c r="H22" s="21">
        <v>9</v>
      </c>
      <c r="I22" s="21">
        <v>33.500000000000007</v>
      </c>
      <c r="J22" s="21">
        <v>35.600000000000009</v>
      </c>
      <c r="K22" s="21">
        <v>20</v>
      </c>
      <c r="L22" s="21">
        <f t="shared" si="1"/>
        <v>0.88225322773200598</v>
      </c>
      <c r="M22" s="21">
        <f t="shared" si="1"/>
        <v>0.93820879467566498</v>
      </c>
      <c r="N22" s="21">
        <f t="shared" si="2"/>
        <v>5.5955566943658996E-2</v>
      </c>
      <c r="O22" s="23">
        <f t="shared" si="3"/>
        <v>11.1911133887318</v>
      </c>
      <c r="P22" s="21">
        <f t="shared" si="4"/>
        <v>77.596483330180149</v>
      </c>
      <c r="Q22" s="21">
        <f t="shared" si="5"/>
        <v>6.9337590134964708</v>
      </c>
    </row>
    <row r="23" spans="1:17" x14ac:dyDescent="0.2">
      <c r="A23" s="2">
        <v>24</v>
      </c>
      <c r="C23">
        <v>10</v>
      </c>
      <c r="D23" s="15">
        <f t="shared" si="6"/>
        <v>31.400000000000009</v>
      </c>
      <c r="E23">
        <f t="shared" si="0"/>
        <v>33.500000000000007</v>
      </c>
      <c r="F23" s="16">
        <v>10</v>
      </c>
      <c r="H23" s="21">
        <v>10</v>
      </c>
      <c r="I23" s="21">
        <v>35.600000000000009</v>
      </c>
      <c r="J23" s="21">
        <v>41.9</v>
      </c>
      <c r="K23" s="21">
        <v>10</v>
      </c>
      <c r="L23" s="21">
        <f t="shared" si="1"/>
        <v>0.93820879467566498</v>
      </c>
      <c r="M23" s="21">
        <f t="shared" si="1"/>
        <v>0.99479840945035647</v>
      </c>
      <c r="N23" s="21">
        <f t="shared" si="2"/>
        <v>5.6589614774691488E-2</v>
      </c>
      <c r="O23" s="23">
        <f t="shared" si="3"/>
        <v>11.317922954938297</v>
      </c>
      <c r="P23" s="21">
        <f t="shared" si="4"/>
        <v>1.7369209151532916</v>
      </c>
      <c r="Q23" s="21">
        <f t="shared" si="5"/>
        <v>0.15346640210122908</v>
      </c>
    </row>
    <row r="24" spans="1:17" x14ac:dyDescent="0.2">
      <c r="A24" s="2">
        <v>30</v>
      </c>
      <c r="C24">
        <v>11</v>
      </c>
      <c r="D24" s="15">
        <f t="shared" si="6"/>
        <v>33.500000000000007</v>
      </c>
      <c r="E24">
        <f t="shared" si="0"/>
        <v>35.600000000000009</v>
      </c>
      <c r="F24" s="16">
        <v>20</v>
      </c>
    </row>
    <row r="25" spans="1:17" x14ac:dyDescent="0.2">
      <c r="A25" s="2">
        <v>24</v>
      </c>
      <c r="C25">
        <v>12</v>
      </c>
      <c r="D25" s="15">
        <f t="shared" si="6"/>
        <v>35.600000000000009</v>
      </c>
      <c r="E25">
        <f t="shared" si="0"/>
        <v>37.70000000000001</v>
      </c>
      <c r="F25" s="16">
        <v>4</v>
      </c>
    </row>
    <row r="26" spans="1:17" x14ac:dyDescent="0.2">
      <c r="A26" s="2">
        <v>22</v>
      </c>
      <c r="C26">
        <v>13</v>
      </c>
      <c r="D26" s="15">
        <f t="shared" si="6"/>
        <v>37.70000000000001</v>
      </c>
      <c r="E26">
        <f t="shared" si="0"/>
        <v>39.800000000000011</v>
      </c>
      <c r="F26" s="16">
        <v>5</v>
      </c>
      <c r="H26" t="s">
        <v>34</v>
      </c>
      <c r="I26">
        <f>AVERAGE(A2:A201)</f>
        <v>27.25</v>
      </c>
      <c r="J26" s="26">
        <v>27.25</v>
      </c>
      <c r="P26" s="4" t="s">
        <v>36</v>
      </c>
      <c r="Q26" s="38">
        <f>SUM(Q14:Q23)</f>
        <v>17.386569712194088</v>
      </c>
    </row>
    <row r="27" spans="1:17" x14ac:dyDescent="0.2">
      <c r="A27" s="2">
        <v>14</v>
      </c>
      <c r="C27">
        <v>14</v>
      </c>
      <c r="D27" s="15">
        <f t="shared" si="6"/>
        <v>39.800000000000011</v>
      </c>
      <c r="E27">
        <f t="shared" si="0"/>
        <v>41.900000000000013</v>
      </c>
      <c r="F27" s="16">
        <v>1</v>
      </c>
      <c r="H27" t="s">
        <v>22</v>
      </c>
      <c r="I27" s="26">
        <v>0.01</v>
      </c>
      <c r="P27" s="4" t="s">
        <v>37</v>
      </c>
      <c r="Q27" s="38">
        <f>CHIINV(I27,I28)</f>
        <v>20.090235029663233</v>
      </c>
    </row>
    <row r="28" spans="1:17" x14ac:dyDescent="0.2">
      <c r="A28" s="2">
        <v>27</v>
      </c>
      <c r="H28" t="s">
        <v>38</v>
      </c>
      <c r="I28">
        <f>I29-I30-1</f>
        <v>8</v>
      </c>
    </row>
    <row r="29" spans="1:17" x14ac:dyDescent="0.2">
      <c r="A29" s="2">
        <v>25</v>
      </c>
      <c r="H29" t="s">
        <v>11</v>
      </c>
      <c r="I29">
        <v>10</v>
      </c>
      <c r="P29" s="56" t="str">
        <f>IF(Q26&lt;Q27,"nie ma podstaw do odrzucenia H0","odrzucamy H0")</f>
        <v>nie ma podstaw do odrzucenia H0</v>
      </c>
      <c r="Q29" s="56"/>
    </row>
    <row r="30" spans="1:17" x14ac:dyDescent="0.2">
      <c r="A30" s="2">
        <v>27</v>
      </c>
      <c r="H30" t="s">
        <v>10</v>
      </c>
      <c r="I30">
        <v>1</v>
      </c>
      <c r="J30" s="4" t="s">
        <v>61</v>
      </c>
    </row>
    <row r="31" spans="1:17" x14ac:dyDescent="0.2">
      <c r="A31" s="2">
        <v>34</v>
      </c>
    </row>
    <row r="32" spans="1:17" x14ac:dyDescent="0.2">
      <c r="A32" s="2">
        <v>23</v>
      </c>
    </row>
    <row r="33" spans="1:1" x14ac:dyDescent="0.2">
      <c r="A33" s="2">
        <v>16</v>
      </c>
    </row>
    <row r="34" spans="1:1" x14ac:dyDescent="0.2">
      <c r="A34" s="2">
        <v>23</v>
      </c>
    </row>
    <row r="35" spans="1:1" x14ac:dyDescent="0.2">
      <c r="A35" s="2">
        <v>31</v>
      </c>
    </row>
    <row r="36" spans="1:1" x14ac:dyDescent="0.2">
      <c r="A36" s="2">
        <v>19</v>
      </c>
    </row>
    <row r="37" spans="1:1" x14ac:dyDescent="0.2">
      <c r="A37" s="2">
        <v>33</v>
      </c>
    </row>
    <row r="38" spans="1:1" x14ac:dyDescent="0.2">
      <c r="A38" s="2">
        <v>31</v>
      </c>
    </row>
    <row r="39" spans="1:1" x14ac:dyDescent="0.2">
      <c r="A39" s="2">
        <v>29</v>
      </c>
    </row>
    <row r="40" spans="1:1" x14ac:dyDescent="0.2">
      <c r="A40" s="2">
        <v>26</v>
      </c>
    </row>
    <row r="41" spans="1:1" x14ac:dyDescent="0.2">
      <c r="A41" s="2">
        <v>24</v>
      </c>
    </row>
    <row r="42" spans="1:1" x14ac:dyDescent="0.2">
      <c r="A42" s="2">
        <v>28</v>
      </c>
    </row>
    <row r="43" spans="1:1" x14ac:dyDescent="0.2">
      <c r="A43" s="2">
        <v>25</v>
      </c>
    </row>
    <row r="44" spans="1:1" x14ac:dyDescent="0.2">
      <c r="A44" s="2">
        <v>19</v>
      </c>
    </row>
    <row r="45" spans="1:1" x14ac:dyDescent="0.2">
      <c r="A45" s="2">
        <v>22</v>
      </c>
    </row>
    <row r="46" spans="1:1" x14ac:dyDescent="0.2">
      <c r="A46" s="2">
        <v>25</v>
      </c>
    </row>
    <row r="47" spans="1:1" x14ac:dyDescent="0.2">
      <c r="A47" s="2">
        <v>28</v>
      </c>
    </row>
    <row r="48" spans="1:1" x14ac:dyDescent="0.2">
      <c r="A48" s="2">
        <v>24</v>
      </c>
    </row>
    <row r="49" spans="1:1" x14ac:dyDescent="0.2">
      <c r="A49" s="2">
        <v>35</v>
      </c>
    </row>
    <row r="50" spans="1:1" x14ac:dyDescent="0.2">
      <c r="A50" s="2">
        <v>24</v>
      </c>
    </row>
    <row r="51" spans="1:1" x14ac:dyDescent="0.2">
      <c r="A51" s="2">
        <v>26</v>
      </c>
    </row>
    <row r="52" spans="1:1" x14ac:dyDescent="0.2">
      <c r="A52" s="2">
        <v>33</v>
      </c>
    </row>
    <row r="53" spans="1:1" x14ac:dyDescent="0.2">
      <c r="A53" s="2">
        <v>26</v>
      </c>
    </row>
    <row r="54" spans="1:1" x14ac:dyDescent="0.2">
      <c r="A54" s="2">
        <v>21</v>
      </c>
    </row>
    <row r="55" spans="1:1" x14ac:dyDescent="0.2">
      <c r="A55" s="2">
        <v>23</v>
      </c>
    </row>
    <row r="56" spans="1:1" x14ac:dyDescent="0.2">
      <c r="A56" s="2">
        <v>16</v>
      </c>
    </row>
    <row r="57" spans="1:1" x14ac:dyDescent="0.2">
      <c r="A57" s="2">
        <v>23</v>
      </c>
    </row>
    <row r="58" spans="1:1" x14ac:dyDescent="0.2">
      <c r="A58" s="2">
        <v>18</v>
      </c>
    </row>
    <row r="59" spans="1:1" x14ac:dyDescent="0.2">
      <c r="A59" s="2">
        <v>23</v>
      </c>
    </row>
    <row r="60" spans="1:1" x14ac:dyDescent="0.2">
      <c r="A60" s="2">
        <v>17</v>
      </c>
    </row>
    <row r="61" spans="1:1" x14ac:dyDescent="0.2">
      <c r="A61" s="2">
        <v>30</v>
      </c>
    </row>
    <row r="62" spans="1:1" x14ac:dyDescent="0.2">
      <c r="A62" s="2">
        <v>21</v>
      </c>
    </row>
    <row r="63" spans="1:1" x14ac:dyDescent="0.2">
      <c r="A63" s="2">
        <v>26</v>
      </c>
    </row>
    <row r="64" spans="1:1" x14ac:dyDescent="0.2">
      <c r="A64" s="2">
        <v>20</v>
      </c>
    </row>
    <row r="65" spans="1:1" x14ac:dyDescent="0.2">
      <c r="A65" s="2">
        <v>25</v>
      </c>
    </row>
    <row r="66" spans="1:1" x14ac:dyDescent="0.2">
      <c r="A66" s="2">
        <v>35</v>
      </c>
    </row>
    <row r="67" spans="1:1" x14ac:dyDescent="0.2">
      <c r="A67" s="2">
        <v>28</v>
      </c>
    </row>
    <row r="68" spans="1:1" x14ac:dyDescent="0.2">
      <c r="A68" s="2">
        <v>26</v>
      </c>
    </row>
    <row r="69" spans="1:1" x14ac:dyDescent="0.2">
      <c r="A69" s="2">
        <v>27</v>
      </c>
    </row>
    <row r="70" spans="1:1" x14ac:dyDescent="0.2">
      <c r="A70" s="2">
        <v>31</v>
      </c>
    </row>
    <row r="71" spans="1:1" x14ac:dyDescent="0.2">
      <c r="A71" s="2">
        <v>19</v>
      </c>
    </row>
    <row r="72" spans="1:1" x14ac:dyDescent="0.2">
      <c r="A72" s="2">
        <v>19</v>
      </c>
    </row>
    <row r="73" spans="1:1" x14ac:dyDescent="0.2">
      <c r="A73" s="2">
        <v>33</v>
      </c>
    </row>
    <row r="74" spans="1:1" x14ac:dyDescent="0.2">
      <c r="A74" s="2">
        <v>26</v>
      </c>
    </row>
    <row r="75" spans="1:1" x14ac:dyDescent="0.2">
      <c r="A75" s="2">
        <v>26</v>
      </c>
    </row>
    <row r="76" spans="1:1" x14ac:dyDescent="0.2">
      <c r="A76" s="2">
        <v>27</v>
      </c>
    </row>
    <row r="77" spans="1:1" x14ac:dyDescent="0.2">
      <c r="A77" s="2">
        <v>30</v>
      </c>
    </row>
    <row r="78" spans="1:1" x14ac:dyDescent="0.2">
      <c r="A78" s="2">
        <v>36</v>
      </c>
    </row>
    <row r="79" spans="1:1" x14ac:dyDescent="0.2">
      <c r="A79" s="2">
        <v>27</v>
      </c>
    </row>
    <row r="80" spans="1:1" x14ac:dyDescent="0.2">
      <c r="A80" s="2">
        <v>19</v>
      </c>
    </row>
    <row r="81" spans="1:1" x14ac:dyDescent="0.2">
      <c r="A81" s="2">
        <v>24</v>
      </c>
    </row>
    <row r="82" spans="1:1" x14ac:dyDescent="0.2">
      <c r="A82" s="2">
        <v>25</v>
      </c>
    </row>
    <row r="83" spans="1:1" x14ac:dyDescent="0.2">
      <c r="A83" s="2">
        <v>33</v>
      </c>
    </row>
    <row r="84" spans="1:1" x14ac:dyDescent="0.2">
      <c r="A84" s="2">
        <v>30</v>
      </c>
    </row>
    <row r="85" spans="1:1" x14ac:dyDescent="0.2">
      <c r="A85" s="2">
        <v>19</v>
      </c>
    </row>
    <row r="86" spans="1:1" x14ac:dyDescent="0.2">
      <c r="A86" s="2">
        <v>23</v>
      </c>
    </row>
    <row r="87" spans="1:1" x14ac:dyDescent="0.2">
      <c r="A87" s="2">
        <v>21</v>
      </c>
    </row>
    <row r="88" spans="1:1" x14ac:dyDescent="0.2">
      <c r="A88" s="2">
        <v>24</v>
      </c>
    </row>
    <row r="89" spans="1:1" x14ac:dyDescent="0.2">
      <c r="A89" s="2">
        <v>14</v>
      </c>
    </row>
    <row r="90" spans="1:1" x14ac:dyDescent="0.2">
      <c r="A90" s="2">
        <v>22</v>
      </c>
    </row>
    <row r="91" spans="1:1" x14ac:dyDescent="0.2">
      <c r="A91" s="2">
        <v>28</v>
      </c>
    </row>
    <row r="92" spans="1:1" x14ac:dyDescent="0.2">
      <c r="A92" s="2">
        <v>35</v>
      </c>
    </row>
    <row r="93" spans="1:1" x14ac:dyDescent="0.2">
      <c r="A93" s="2">
        <v>30</v>
      </c>
    </row>
    <row r="94" spans="1:1" x14ac:dyDescent="0.2">
      <c r="A94" s="2">
        <v>28</v>
      </c>
    </row>
    <row r="95" spans="1:1" x14ac:dyDescent="0.2">
      <c r="A95" s="2">
        <v>24</v>
      </c>
    </row>
    <row r="96" spans="1:1" x14ac:dyDescent="0.2">
      <c r="A96" s="2">
        <v>28</v>
      </c>
    </row>
    <row r="97" spans="1:1" x14ac:dyDescent="0.2">
      <c r="A97" s="2">
        <v>27</v>
      </c>
    </row>
    <row r="98" spans="1:1" x14ac:dyDescent="0.2">
      <c r="A98" s="2">
        <v>27</v>
      </c>
    </row>
    <row r="99" spans="1:1" x14ac:dyDescent="0.2">
      <c r="A99" s="2">
        <v>25</v>
      </c>
    </row>
    <row r="100" spans="1:1" x14ac:dyDescent="0.2">
      <c r="A100" s="2">
        <v>30</v>
      </c>
    </row>
    <row r="101" spans="1:1" x14ac:dyDescent="0.2">
      <c r="A101" s="2">
        <v>27</v>
      </c>
    </row>
    <row r="102" spans="1:1" x14ac:dyDescent="0.2">
      <c r="A102" s="2">
        <v>23</v>
      </c>
    </row>
    <row r="103" spans="1:1" x14ac:dyDescent="0.2">
      <c r="A103" s="2">
        <v>35</v>
      </c>
    </row>
    <row r="104" spans="1:1" x14ac:dyDescent="0.2">
      <c r="A104" s="2">
        <v>31</v>
      </c>
    </row>
    <row r="105" spans="1:1" x14ac:dyDescent="0.2">
      <c r="A105" s="2">
        <v>30</v>
      </c>
    </row>
    <row r="106" spans="1:1" x14ac:dyDescent="0.2">
      <c r="A106" s="2">
        <v>23</v>
      </c>
    </row>
    <row r="107" spans="1:1" x14ac:dyDescent="0.2">
      <c r="A107" s="2">
        <v>23</v>
      </c>
    </row>
    <row r="108" spans="1:1" x14ac:dyDescent="0.2">
      <c r="A108" s="2">
        <v>25</v>
      </c>
    </row>
    <row r="109" spans="1:1" x14ac:dyDescent="0.2">
      <c r="A109" s="2">
        <v>22</v>
      </c>
    </row>
    <row r="110" spans="1:1" x14ac:dyDescent="0.2">
      <c r="A110" s="2">
        <v>19</v>
      </c>
    </row>
    <row r="111" spans="1:1" x14ac:dyDescent="0.2">
      <c r="A111" s="2">
        <v>37</v>
      </c>
    </row>
    <row r="112" spans="1:1" x14ac:dyDescent="0.2">
      <c r="A112" s="2">
        <v>36</v>
      </c>
    </row>
    <row r="113" spans="1:1" x14ac:dyDescent="0.2">
      <c r="A113" s="2">
        <v>28</v>
      </c>
    </row>
    <row r="114" spans="1:1" x14ac:dyDescent="0.2">
      <c r="A114" s="2">
        <v>25</v>
      </c>
    </row>
    <row r="115" spans="1:1" x14ac:dyDescent="0.2">
      <c r="A115" s="2">
        <v>24</v>
      </c>
    </row>
    <row r="116" spans="1:1" x14ac:dyDescent="0.2">
      <c r="A116" s="2">
        <v>23</v>
      </c>
    </row>
    <row r="117" spans="1:1" x14ac:dyDescent="0.2">
      <c r="A117" s="2">
        <v>25</v>
      </c>
    </row>
    <row r="118" spans="1:1" x14ac:dyDescent="0.2">
      <c r="A118" s="2">
        <v>29</v>
      </c>
    </row>
    <row r="119" spans="1:1" x14ac:dyDescent="0.2">
      <c r="A119" s="2">
        <v>35</v>
      </c>
    </row>
    <row r="120" spans="1:1" x14ac:dyDescent="0.2">
      <c r="A120" s="2">
        <v>32</v>
      </c>
    </row>
    <row r="121" spans="1:1" x14ac:dyDescent="0.2">
      <c r="A121" s="2">
        <v>24</v>
      </c>
    </row>
    <row r="122" spans="1:1" x14ac:dyDescent="0.2">
      <c r="A122" s="2">
        <v>24</v>
      </c>
    </row>
    <row r="123" spans="1:1" x14ac:dyDescent="0.2">
      <c r="A123" s="2">
        <v>28</v>
      </c>
    </row>
    <row r="124" spans="1:1" x14ac:dyDescent="0.2">
      <c r="A124" s="2">
        <v>27</v>
      </c>
    </row>
    <row r="125" spans="1:1" x14ac:dyDescent="0.2">
      <c r="A125" s="2">
        <v>23</v>
      </c>
    </row>
    <row r="126" spans="1:1" x14ac:dyDescent="0.2">
      <c r="A126" s="2">
        <v>24</v>
      </c>
    </row>
    <row r="127" spans="1:1" x14ac:dyDescent="0.2">
      <c r="A127" s="2">
        <v>27</v>
      </c>
    </row>
    <row r="128" spans="1:1" x14ac:dyDescent="0.2">
      <c r="A128" s="2">
        <v>34</v>
      </c>
    </row>
    <row r="129" spans="1:1" x14ac:dyDescent="0.2">
      <c r="A129" s="2">
        <v>30</v>
      </c>
    </row>
    <row r="130" spans="1:1" x14ac:dyDescent="0.2">
      <c r="A130" s="2">
        <v>28</v>
      </c>
    </row>
    <row r="131" spans="1:1" x14ac:dyDescent="0.2">
      <c r="A131" s="2">
        <v>35</v>
      </c>
    </row>
    <row r="132" spans="1:1" x14ac:dyDescent="0.2">
      <c r="A132" s="2">
        <v>27</v>
      </c>
    </row>
    <row r="133" spans="1:1" x14ac:dyDescent="0.2">
      <c r="A133" s="2">
        <v>31</v>
      </c>
    </row>
    <row r="134" spans="1:1" x14ac:dyDescent="0.2">
      <c r="A134" s="2">
        <v>27</v>
      </c>
    </row>
    <row r="135" spans="1:1" x14ac:dyDescent="0.2">
      <c r="A135" s="2">
        <v>27</v>
      </c>
    </row>
    <row r="136" spans="1:1" x14ac:dyDescent="0.2">
      <c r="A136" s="2">
        <v>32</v>
      </c>
    </row>
    <row r="137" spans="1:1" x14ac:dyDescent="0.2">
      <c r="A137" s="2">
        <v>34</v>
      </c>
    </row>
    <row r="138" spans="1:1" x14ac:dyDescent="0.2">
      <c r="A138" s="2">
        <v>28</v>
      </c>
    </row>
    <row r="139" spans="1:1" x14ac:dyDescent="0.2">
      <c r="A139" s="2">
        <v>30</v>
      </c>
    </row>
    <row r="140" spans="1:1" x14ac:dyDescent="0.2">
      <c r="A140" s="2">
        <v>30</v>
      </c>
    </row>
    <row r="141" spans="1:1" x14ac:dyDescent="0.2">
      <c r="A141" s="2">
        <v>28</v>
      </c>
    </row>
    <row r="142" spans="1:1" x14ac:dyDescent="0.2">
      <c r="A142" s="2">
        <v>34</v>
      </c>
    </row>
    <row r="143" spans="1:1" x14ac:dyDescent="0.2">
      <c r="A143" s="2">
        <v>27</v>
      </c>
    </row>
    <row r="144" spans="1:1" x14ac:dyDescent="0.2">
      <c r="A144" s="2">
        <v>27</v>
      </c>
    </row>
    <row r="145" spans="1:1" x14ac:dyDescent="0.2">
      <c r="A145" s="2">
        <v>35</v>
      </c>
    </row>
    <row r="146" spans="1:1" x14ac:dyDescent="0.2">
      <c r="A146" s="2">
        <v>20</v>
      </c>
    </row>
    <row r="147" spans="1:1" x14ac:dyDescent="0.2">
      <c r="A147" s="2">
        <v>32</v>
      </c>
    </row>
    <row r="148" spans="1:1" x14ac:dyDescent="0.2">
      <c r="A148" s="2">
        <v>28</v>
      </c>
    </row>
    <row r="149" spans="1:1" x14ac:dyDescent="0.2">
      <c r="A149" s="2">
        <v>31</v>
      </c>
    </row>
    <row r="150" spans="1:1" x14ac:dyDescent="0.2">
      <c r="A150" s="2">
        <v>25</v>
      </c>
    </row>
    <row r="151" spans="1:1" x14ac:dyDescent="0.2">
      <c r="A151" s="2">
        <v>38</v>
      </c>
    </row>
    <row r="152" spans="1:1" x14ac:dyDescent="0.2">
      <c r="A152" s="2">
        <v>33</v>
      </c>
    </row>
    <row r="153" spans="1:1" x14ac:dyDescent="0.2">
      <c r="A153" s="2">
        <v>34</v>
      </c>
    </row>
    <row r="154" spans="1:1" x14ac:dyDescent="0.2">
      <c r="A154" s="2">
        <v>31</v>
      </c>
    </row>
    <row r="155" spans="1:1" x14ac:dyDescent="0.2">
      <c r="A155" s="2">
        <v>40</v>
      </c>
    </row>
    <row r="156" spans="1:1" x14ac:dyDescent="0.2">
      <c r="A156" s="2">
        <v>26</v>
      </c>
    </row>
    <row r="157" spans="1:1" x14ac:dyDescent="0.2">
      <c r="A157" s="2">
        <v>24</v>
      </c>
    </row>
    <row r="158" spans="1:1" x14ac:dyDescent="0.2">
      <c r="A158" s="2">
        <v>27</v>
      </c>
    </row>
    <row r="159" spans="1:1" x14ac:dyDescent="0.2">
      <c r="A159" s="2">
        <v>28</v>
      </c>
    </row>
    <row r="160" spans="1:1" x14ac:dyDescent="0.2">
      <c r="A160" s="2">
        <v>30</v>
      </c>
    </row>
    <row r="161" spans="1:1" x14ac:dyDescent="0.2">
      <c r="A161" s="2">
        <v>35</v>
      </c>
    </row>
    <row r="162" spans="1:1" x14ac:dyDescent="0.2">
      <c r="A162" s="2">
        <v>34</v>
      </c>
    </row>
    <row r="163" spans="1:1" x14ac:dyDescent="0.2">
      <c r="A163" s="2">
        <v>27</v>
      </c>
    </row>
    <row r="164" spans="1:1" x14ac:dyDescent="0.2">
      <c r="A164" s="2">
        <v>30</v>
      </c>
    </row>
    <row r="165" spans="1:1" x14ac:dyDescent="0.2">
      <c r="A165" s="2">
        <v>36</v>
      </c>
    </row>
    <row r="166" spans="1:1" x14ac:dyDescent="0.2">
      <c r="A166" s="2">
        <v>43</v>
      </c>
    </row>
    <row r="167" spans="1:1" x14ac:dyDescent="0.2">
      <c r="A167" s="2">
        <v>30</v>
      </c>
    </row>
    <row r="168" spans="1:1" x14ac:dyDescent="0.2">
      <c r="A168" s="2">
        <v>29</v>
      </c>
    </row>
    <row r="169" spans="1:1" x14ac:dyDescent="0.2">
      <c r="A169" s="2">
        <v>25</v>
      </c>
    </row>
    <row r="170" spans="1:1" x14ac:dyDescent="0.2">
      <c r="A170" s="2">
        <v>16</v>
      </c>
    </row>
    <row r="171" spans="1:1" x14ac:dyDescent="0.2">
      <c r="A171" s="2">
        <v>25</v>
      </c>
    </row>
    <row r="172" spans="1:1" x14ac:dyDescent="0.2">
      <c r="A172" s="2">
        <v>25</v>
      </c>
    </row>
    <row r="173" spans="1:1" x14ac:dyDescent="0.2">
      <c r="A173" s="2">
        <v>39</v>
      </c>
    </row>
    <row r="174" spans="1:1" x14ac:dyDescent="0.2">
      <c r="A174" s="2">
        <v>27</v>
      </c>
    </row>
    <row r="175" spans="1:1" x14ac:dyDescent="0.2">
      <c r="A175" s="2">
        <v>22</v>
      </c>
    </row>
    <row r="176" spans="1:1" x14ac:dyDescent="0.2">
      <c r="A176" s="2">
        <v>39</v>
      </c>
    </row>
    <row r="177" spans="1:1" x14ac:dyDescent="0.2">
      <c r="A177" s="2">
        <v>24</v>
      </c>
    </row>
    <row r="178" spans="1:1" x14ac:dyDescent="0.2">
      <c r="A178" s="2">
        <v>34</v>
      </c>
    </row>
    <row r="179" spans="1:1" x14ac:dyDescent="0.2">
      <c r="A179" s="2">
        <v>27</v>
      </c>
    </row>
    <row r="180" spans="1:1" x14ac:dyDescent="0.2">
      <c r="A180" s="2">
        <v>25</v>
      </c>
    </row>
    <row r="181" spans="1:1" x14ac:dyDescent="0.2">
      <c r="A181" s="2">
        <v>24</v>
      </c>
    </row>
    <row r="182" spans="1:1" x14ac:dyDescent="0.2">
      <c r="A182" s="2">
        <v>32</v>
      </c>
    </row>
    <row r="183" spans="1:1" x14ac:dyDescent="0.2">
      <c r="A183" s="2">
        <v>34</v>
      </c>
    </row>
    <row r="184" spans="1:1" x14ac:dyDescent="0.2">
      <c r="A184" s="2">
        <v>26</v>
      </c>
    </row>
    <row r="185" spans="1:1" x14ac:dyDescent="0.2">
      <c r="A185" s="2">
        <v>30</v>
      </c>
    </row>
    <row r="186" spans="1:1" x14ac:dyDescent="0.2">
      <c r="A186" s="2">
        <v>28</v>
      </c>
    </row>
    <row r="187" spans="1:1" x14ac:dyDescent="0.2">
      <c r="A187" s="2">
        <v>31</v>
      </c>
    </row>
    <row r="188" spans="1:1" x14ac:dyDescent="0.2">
      <c r="A188" s="2">
        <v>30</v>
      </c>
    </row>
    <row r="189" spans="1:1" x14ac:dyDescent="0.2">
      <c r="A189" s="2">
        <v>35</v>
      </c>
    </row>
    <row r="190" spans="1:1" x14ac:dyDescent="0.2">
      <c r="A190" s="2">
        <v>17</v>
      </c>
    </row>
    <row r="191" spans="1:1" x14ac:dyDescent="0.2">
      <c r="A191" s="2">
        <v>29</v>
      </c>
    </row>
    <row r="192" spans="1:1" x14ac:dyDescent="0.2">
      <c r="A192" s="2">
        <v>30</v>
      </c>
    </row>
    <row r="193" spans="1:1" x14ac:dyDescent="0.2">
      <c r="A193" s="2">
        <v>33</v>
      </c>
    </row>
    <row r="194" spans="1:1" x14ac:dyDescent="0.2">
      <c r="A194" s="2">
        <v>18</v>
      </c>
    </row>
    <row r="195" spans="1:1" x14ac:dyDescent="0.2">
      <c r="A195" s="2">
        <v>30</v>
      </c>
    </row>
    <row r="196" spans="1:1" x14ac:dyDescent="0.2">
      <c r="A196" s="2">
        <v>34</v>
      </c>
    </row>
    <row r="197" spans="1:1" x14ac:dyDescent="0.2">
      <c r="A197" s="2">
        <v>22</v>
      </c>
    </row>
    <row r="198" spans="1:1" x14ac:dyDescent="0.2">
      <c r="A198" s="2">
        <v>30</v>
      </c>
    </row>
    <row r="199" spans="1:1" x14ac:dyDescent="0.2">
      <c r="A199" s="2">
        <v>34</v>
      </c>
    </row>
    <row r="200" spans="1:1" x14ac:dyDescent="0.2">
      <c r="A200" s="2">
        <v>13</v>
      </c>
    </row>
    <row r="201" spans="1:1" x14ac:dyDescent="0.2">
      <c r="A201" s="2">
        <v>28</v>
      </c>
    </row>
  </sheetData>
  <mergeCells count="1">
    <mergeCell ref="P29:Q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chi-kwadrat</vt:lpstr>
      <vt:lpstr>kołmogorowa</vt:lpstr>
      <vt:lpstr>tablica</vt:lpstr>
      <vt:lpstr>chi kwadrat-Poissona</vt:lpstr>
    </vt:vector>
  </TitlesOfParts>
  <Company>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Kościński</dc:creator>
  <cp:lastModifiedBy>Bozena Staruch</cp:lastModifiedBy>
  <dcterms:created xsi:type="dcterms:W3CDTF">2001-07-02T14:45:32Z</dcterms:created>
  <dcterms:modified xsi:type="dcterms:W3CDTF">2025-03-20T14:00:39Z</dcterms:modified>
</cp:coreProperties>
</file>